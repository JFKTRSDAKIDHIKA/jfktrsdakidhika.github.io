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✒️ 学习记录" sheetId="1" r:id="rId3"/>
    <sheet name="⭐️ 主线任务" sheetId="2" r:id="rId4"/>
    <sheet name="💡 支线任务" sheetId="3" r:id="rId5"/>
    <sheet name="🚀 任务进度" sheetId="4" r:id="rId6"/>
    <sheet name="🔥 结业考核" sheetId="5" r:id="rId7"/>
    <sheet name="🎈 版本信息" sheetId="6" r:id="rId8"/>
    <sheet name="NPC性能评估结果" sheetId="7" r:id="rId9"/>
  </sheets>
  <calcPr/>
</workbook>
</file>

<file path=xl/sharedStrings.xml><?xml version="1.0" encoding="utf-8"?>
<sst xmlns="http://schemas.openxmlformats.org/spreadsheetml/2006/main" count="867" uniqueCount="867">
  <si>
    <t/>
  </si>
  <si>
    <t>完成时间</t>
  </si>
  <si>
    <t>关联的主线任务</t>
  </si>
  <si>
    <t>任务状态</t>
  </si>
  <si>
    <t>任务内容详细描述</t>
  </si>
  <si>
    <t>备注</t>
  </si>
  <si>
    <t>开启时间</t>
  </si>
  <si>
    <t>任务子章节名称</t>
  </si>
  <si>
    <t>完成设置</t>
  </si>
  <si>
    <t>支线任务名称</t>
  </si>
  <si>
    <t>任务章节名称</t>
  </si>
  <si>
    <t>最后编辑时间</t>
  </si>
  <si>
    <t>任务最终完成时间</t>
  </si>
  <si>
    <t>任务内容概述</t>
  </si>
  <si>
    <t>显示待完成支线任务</t>
  </si>
  <si>
    <t>2024/12/16</t>
  </si>
  <si>
    <t>=TEXTJOIN(", ", TRUE, CHOOSE({1},⭐️ 主线任务!L53))</t>
  </si>
  <si>
    <t>✅</t>
  </si>
  <si>
    <t>RTFSC理解指令执行的过程</t>
  </si>
  <si>
    <t>😍 已完成</t>
  </si>
  <si>
    <t>=TEXTJOIN(", ", TRUE, CHOOSE({1},⭐️ 主线任务!B53))</t>
  </si>
  <si>
    <t>2024/4/30</t>
  </si>
  <si>
    <t>🥺 暂时搁置</t>
  </si>
  <si>
    <t>👋 弃用</t>
  </si>
  <si>
    <t>😉 即将开始</t>
  </si>
  <si>
    <t>💪🏻 进行中</t>
  </si>
  <si>
    <t>□</t>
  </si>
  <si>
    <t>序号</t>
  </si>
  <si>
    <t>commit</t>
  </si>
  <si>
    <t>说明</t>
  </si>
  <si>
    <t>仿真周期数</t>
  </si>
  <si>
    <t>指令数</t>
  </si>
  <si>
    <t>IPC</t>
  </si>
  <si>
    <t>CPI</t>
  </si>
  <si>
    <t>综合频率</t>
  </si>
  <si>
    <t>加载依赖停顿（周期）</t>
  </si>
  <si>
    <t>ID因IFetch停顿周期</t>
  </si>
  <si>
    <t>ICache 总共缺失代价（周期）</t>
  </si>
  <si>
    <t>跳转预测错误次数</t>
  </si>
  <si>
    <t>综合面积</t>
  </si>
  <si>
    <t>lsu平均访存延迟（周期）</t>
  </si>
  <si>
    <t>取指平均延迟（周期）</t>
  </si>
  <si>
    <t>ICache 平均缺失代价（周期）</t>
  </si>
  <si>
    <t>ALU Instructions</t>
  </si>
  <si>
    <t>Load Instructions</t>
  </si>
  <si>
    <t>Store Instructions</t>
  </si>
  <si>
    <t>Branch Instructions</t>
  </si>
  <si>
    <t>Jump Instructions</t>
  </si>
  <si>
    <t>9329e6bd895e08203ed475ee2907874bc04d88fe</t>
  </si>
  <si>
    <t>（没有任何微架构优化的版本）系统的性能瓶颈似乎是指令内存延迟，这占用了执行时间的大约84.6%。优化指令获取延迟可能带来显著性能提升，理论上可将执行时间减少到原先的57.7%左右。数据内存延迟的优化效果较小，预计仅带来约2.6%的性能提升。由于CPU没有流水线和缓存，内存访问是主要瓶颈。</t>
  </si>
  <si>
    <t>672.979MHz</t>
  </si>
  <si>
    <t>NONE</t>
  </si>
  <si>
    <t>114323873 (58.56%)</t>
  </si>
  <si>
    <t>15598800 ( 7.99%)</t>
  </si>
  <si>
    <t xml:space="preserve">7157156 ( 3.67%) </t>
  </si>
  <si>
    <t>52606337 (26.95%)</t>
  </si>
  <si>
    <t>3962013 ( 2.03%)</t>
  </si>
  <si>
    <t>0cec4777d2092bc88d104124d60366d20117376f</t>
  </si>
  <si>
    <t>（加入了简单的ICache）（32个GPR）</t>
  </si>
  <si>
    <t>714MHz</t>
  </si>
  <si>
    <t>114324400 (58.56%)</t>
  </si>
  <si>
    <t>15598827 ( 7.99%)</t>
  </si>
  <si>
    <t xml:space="preserve"> 7157185 ( 3.67%)</t>
  </si>
  <si>
    <t>52606559 (26.95%)</t>
  </si>
  <si>
    <t>3962037 ( 2.03%)</t>
  </si>
  <si>
    <t>0aa30d4945f888b60b085af32b27eecb1bb710ba</t>
  </si>
  <si>
    <t>将Cache Block的大小调整为四个字（每个字为四个字节），并将缓存结构改为Two-Way Set Associative。</t>
  </si>
  <si>
    <t>776.6MHz</t>
  </si>
  <si>
    <t>114317889 (58.56%)</t>
  </si>
  <si>
    <t>15598606 ( 7.99%)</t>
  </si>
  <si>
    <t>7156925 ( 3.67%)</t>
  </si>
  <si>
    <t>52605708 (26.95%)</t>
  </si>
  <si>
    <t>3961986 ( 2.03%)</t>
  </si>
  <si>
    <t>96c8f6d5fb7447da4a0b5dc5027041ae1aa54601</t>
  </si>
  <si>
    <t>icache: support AXI burst read (4 words per burst) axi4_delayer: implement calibrated delay for AXI transactions</t>
  </si>
  <si>
    <t>721.49Mhz</t>
  </si>
  <si>
    <t>114317211 (58.56%) | avg:  16.01 cycles</t>
  </si>
  <si>
    <t>15598585 ( 7.99%) | avg:  52.87 cycles</t>
  </si>
  <si>
    <t>7156904 ( 3.67%) | avg:  26.30 cycles</t>
  </si>
  <si>
    <t>52605447 (26.95%) | avg:  13.29 cycles</t>
  </si>
  <si>
    <t>3961968 ( 2.03%) | avg:  25.91 cycles</t>
  </si>
  <si>
    <t>909ef369891815a5922e940ad5f7eb217fb8e055</t>
  </si>
  <si>
    <t>iCache容量由原先的 64 Bytes 扩大至 128 Bytes，容量翻倍。经过分析可以看到，相较于capacity miss，compulsory miss 和conflict miss所占比例极小，系统的主要性能瓶颈仍然是capacity miss。
具体而言，程序在执行期间的compulsory miss数量为 1227 次，而总缺失次数为 5,895,763 次。扣除compulsory miss后，capacity miss高达 5,894,536 次，两者数量级存在极大差距。因此，可以明确判断，当前系统的缓存性能主要受限于 iCache 容量不足所引发的大量capacity miss，而非其他类型的缺失。</t>
  </si>
  <si>
    <t>9622e0b1bfacb7fa3affcd64ca6552d11723bcc1</t>
  </si>
  <si>
    <t>Implemented a 5-stage pipeline with static speculative execution and forwarding。分析发现：取指前端指令供给严重不足，需要优化！</t>
  </si>
  <si>
    <t>130301687（5.43%）</t>
  </si>
  <si>
    <t>1556525040（64.84%）</t>
  </si>
  <si>
    <t>42659648（1.78%）</t>
  </si>
  <si>
    <t>和多周期时类似</t>
  </si>
  <si>
    <t>b21743881c0d19f8566015c5951b1300d7e50869</t>
  </si>
  <si>
    <t>ICache流水化</t>
  </si>
  <si>
    <t>159138265（7.77%）</t>
  </si>
  <si>
    <t>515118398（25.17%）</t>
  </si>
  <si>
    <t>42659556（2.08%）</t>
  </si>
  <si>
    <t>6d9ba780fade360cb1d6ef92a442e68ad4238573</t>
  </si>
  <si>
    <t>校准了inst统计的误差。ICache miss造成的penalty构成了IDU stall的大部分周期，此外IDU stall构成了总周期的最大部分，所以系统的瓶颈是ICache miss。由于控制指令预测错误导致的stall占了总周期的很小部分，所以优化BPU带来的收益很小。</t>
  </si>
  <si>
    <t>159138266（7.77%）</t>
  </si>
  <si>
    <t>643097068（31.42%）</t>
  </si>
  <si>
    <t>561924402（87.38%）</t>
  </si>
  <si>
    <t>42659557（2.08%）</t>
  </si>
  <si>
    <t>616ee498df8f82f56847a397a251bfe8825f6235</t>
  </si>
  <si>
    <t>在流水线的基础上，支持异常处理（1）评估dcache的理想收益：如果LSU每次data访问都命中cache（latency降到1），那么整个程序最多可以提速约：2.515倍（2）通过cachesim评估dcache的预期性能表现：在128Byte、4-way、16Bytes-block的DCache下，模拟得出DCache的命中率为22.06%，计算得到整体 CPI 上升了1.624倍（3）如果能完全消除控制冒险导致的流水线清空，每个周期都能被充分利用，程序整体执行时间将下降大约 6.2%，性能提升也就是 6.2%。</t>
  </si>
  <si>
    <t>159138267（7.77%）</t>
  </si>
  <si>
    <t>643097069（31.42%）</t>
  </si>
  <si>
    <t>561924403（87.38%）</t>
  </si>
  <si>
    <t>42659558（2.08%）</t>
  </si>
  <si>
    <t>关联子任务</t>
  </si>
  <si>
    <t>任务总进度统计（排除选做）-平均值</t>
  </si>
  <si>
    <t>完成情况</t>
  </si>
  <si>
    <t>任务完成时间文本</t>
  </si>
  <si>
    <t>任务</t>
  </si>
  <si>
    <t>学习阶段</t>
  </si>
  <si>
    <t>任务进度</t>
  </si>
  <si>
    <t>任务更新时间</t>
  </si>
  <si>
    <t>任务完成时间</t>
  </si>
  <si>
    <t>进度乘100</t>
  </si>
  <si>
    <t>进展情况</t>
  </si>
  <si>
    <t>=MAX(⭐️ 主线任务!N2)</t>
  </si>
  <si>
    <t>2024/4/27</t>
  </si>
  <si>
    <t>预学习</t>
  </si>
  <si>
    <t>完成入学答辩要求的全部内容</t>
  </si>
  <si>
    <t>=AVERAGE(⭐️ 主线任务!P2)</t>
  </si>
  <si>
    <t>=MAX(⭐️ 主线任务!N3,⭐️ 主线任务!N53,⭐️ 主线任务!N89,⭐️ 主线任务!N90)</t>
  </si>
  <si>
    <t>B阶段</t>
  </si>
  <si>
    <t>理解YEMU如何执行程序, RTFSC理解指令执行的过程, 运行第一个客户程序, 实现更多的指令</t>
  </si>
  <si>
    <t>=AVERAGE(⭐️ 主线任务!P3,⭐️ 主线任务!P53,⭐️ 主线任务!P89,⭐️ 主线任务!P90)</t>
  </si>
  <si>
    <t>=AVERAGE(⭐️ 主线任务!P85,⭐️ 主线任务!P86,⭐️ 主线任务!P87,⭐️ 主线任务!P88)</t>
  </si>
  <si>
    <t>如果你是初学者, 尝试自己画出架构图, 在NPC中实现addi指令, 尝试DPI-C机制, 通过DPI-C实现ebreak</t>
  </si>
  <si>
    <t>=MAX(⭐️ 主线任务!N85,⭐️ 主线任务!N86,⭐️ 主线任务!N87,⭐️ 主线任务!N88)</t>
  </si>
  <si>
    <t>=MAX(⭐️ 主线任务!N4,⭐️ 主线任务!N54,⭐️ 主线任务!N91,⭐️ 主线任务!N92,⭐️ 主线任务!N93,⭐️ 主线任务!N94,⭐️ 主线任务!N95,⭐️ 主线任务!N96)</t>
  </si>
  <si>
    <t>通过批处理模式运行NEMU, 实现字符串处理函数, 实现sprintf, 实现iringbuf, 实现mtrace, 实现ftrace, 编写更多的测试(1)(2)(3), 实现DiffTest</t>
  </si>
  <si>
    <t>=AVERAGE(⭐️ 主线任务!P4,⭐️ 主线任务!P54,⭐️ 主线任务!P91,⭐️ 主线任务!P92,⭐️ 主线任务!P93,⭐️ 主线任务!P94,⭐️ 主线任务!P95,⭐️ 主线任务!P96)</t>
  </si>
  <si>
    <t>从命令行中读入NPC需要执行的程序, 一键编译并在NPC上运行AM程序, 如果你是初学者, 尝试自己画出架构图, 在NPC上运行dummy程序, 实现riscv32e-npc中的halt()函数, 为NPC实现HIT GOOD/BAD TRAP, 为NPC搭建sdb, 为NPC添加trace支持, 为NPC添加DiffTest支持, 为NPC添加mtrace的支持, 如果你是初学者, 尝试自己画出架构图, 观察ALU的综合结果, 在NPC中正确运行所有cpu-tests</t>
  </si>
  <si>
    <t>=AVERAGE(⭐️ 主线任务!P5,⭐️ 主线任务!P6,⭐️ 主线任务!P7,⭐️ 主线任务!P8,⭐️ 主线任务!P9,⭐️ 主线任务!P10,⭐️ 主线任务!P11,⭐️ 主线任务!P55,⭐️ 主线任务!P56,⭐️ 主线任务!P57,⭐️ 主线任务!P58,⭐️ 主线任务!P59,⭐️ 主线任务!P60)</t>
  </si>
  <si>
    <t>=MAX(⭐️ 主线任务!N5,⭐️ 主线任务!N6,⭐️ 主线任务!N7,⭐️ 主线任务!N8,⭐️ 主线任务!N9,⭐️ 主线任务!N10,⭐️ 主线任务!N11,⭐️ 主线任务!N55,⭐️ 主线任务!N56,⭐️ 主线任务!N57,⭐️ 主线任务!N58,⭐️ 主线任务!N59,⭐️ 主线任务!N60)</t>
  </si>
  <si>
    <t>运行Hello World, 为NPC添加串口和时钟, 运行图形版本的超级玛丽, 实现printf, 运行alu-tests, 实现IOE, 看看NEMU跑多快, 运行演示程序, 观看"Bad Apple!!" PV, 运行红白机模拟器, 实现dtrace, 实现IOE(2), 运行红白机模拟器(2), 实现IOE(3)(4), 运行演示程序(2), 运行红白机模拟器(3), 实现声卡, 观看"Bad Apple!!" PV(2), 理解mainargs, 消除播放音频时的杂音, 运行红白机模拟器(4), 展示你的计算机系统, 游戏是如何运行的, 优化LiteNES, 在NEMU上运行NEMU</t>
  </si>
  <si>
    <t>=AVERAGE(⭐️ 主线任务!P12,⭐️ 主线任务!P13,⭐️ 主线任务!P14,⭐️ 主线任务!P61,⭐️ 主线任务!P62,⭐️ 主线任务!P63,⭐️ 主线任务!P64,⭐️ 主线任务!P66,⭐️ 主线任务!P67,⭐️ 主线任务!P68,⭐️ 主线任务!P69,⭐️ 主线任务!P70,⭐️ 主线任务!P65,⭐️ 主线任务!P71,⭐️ 主线任务!P72,⭐️ 主线任务!P73,⭐️ 主线任务!P74,⭐️ 主线任务!P75,⭐️ 主线任务!P97,⭐️ 主线任务!P98,⭐️ 主线任务!P99,⭐️ 主线任务!P100,⭐️ 主线任务!P101,⭐️ 主线任务!P102,⭐️ 主线任务!P103)</t>
  </si>
  <si>
    <t>=MAX(⭐️ 主线任务!N12,⭐️ 主线任务!N13,⭐️ 主线任务!N14,⭐️ 主线任务!N61,⭐️ 主线任务!N62,⭐️ 主线任务!N63,⭐️ 主线任务!N64,⭐️ 主线任务!N66,⭐️ 主线任务!N67,⭐️ 主线任务!N68,⭐️ 主线任务!N69,⭐️ 主线任务!N70,⭐️ 主线任务!N65,⭐️ 主线任务!N71,⭐️ 主线任务!N72,⭐️ 主线任务!N73,⭐️ 主线任务!N74,⭐️ 主线任务!N75,⭐️ 主线任务!N97,⭐️ 主线任务!N98,⭐️ 主线任务!N99,⭐️ 主线任务!N100,⭐️ 主线任务!N101,⭐️ 主线任务!N102,⭐️ 主线任务!N103)</t>
  </si>
  <si>
    <t>实现异常响应机制, 实现上下文切换, 在NPC中运行RT-Thread, 修复RT-Thread运行时不输出最后的命令提示符的问题, 让DiffTest支持异常响应机制, 重新组织Context结构体, 识别自陷事件, 恢复上下文, 实现etrace, 实现上下文切换(2), 通过CTE实现RT-Thread的上下文创建和切换, 危险的全局变量(4), 在RT-Thread上运行AM程序</t>
  </si>
  <si>
    <t>=AVERAGE(⭐️ 主线任务!P15,⭐️ 主线任务!P16,⭐️ 主线任务!P17,⭐️ 主线任务!P18,⭐️ 主线任务!P76,⭐️ 主线任务!P77,⭐️ 主线任务!P78,⭐️ 主线任务!P79,⭐️ 主线任务!P80,⭐️ 主线任务!P81,⭐️ 主线任务!P82,⭐️ 主线任务!P83,⭐️ 主线任务!P84)</t>
  </si>
  <si>
    <t>=MAX(⭐️ 主线任务!N15,⭐️ 主线任务!N16,⭐️ 主线任务!N17,⭐️ 主线任务!N18,⭐️ 主线任务!N76,⭐️ 主线任务!N77,⭐️ 主线任务!N78,⭐️ 主线任务!N79,⭐️ 主线任务!N80,⭐️ 主线任务!N81,⭐️ 主线任务!N82,⭐️ 主线任务!N83,⭐️ 主线任务!N84)</t>
  </si>
  <si>
    <t>=MAX(⭐️ 主线任务!N19,⭐️ 主线任务!N20,⭐️ 主线任务!N21,⭐️ 主线任务!N22,⭐️ 主线任务!N23,⭐️ 主线任务!N25,⭐️ 主线任务!N26,⭐️ 主线任务!N27,⭐️ 主线任务!N28,⭐️ 主线任务!N29,⭐️ 主线任务!N30,⭐️ 主线任务!N24)</t>
  </si>
  <si>
    <t>重构NPC, 评估单周期NPC的主频和程序性能, 将IFU访问的存储器改造成SRAM, 让DiffTest适配多周期处理器, 将LSU(访存单元)访问的存储器改造成SRAM, 将IFU和LSU的访存接口改造成AXI-Lite, 测试总线的实现, 实现AXI-Lite仲裁器, 评估NPC的主频和程序性能, 实现AXI-Lite接口的UART功能, 实现AXI-Lite接口的CLINT, 避免握手的死锁和活锁</t>
  </si>
  <si>
    <t>=AVERAGE(⭐️ 主线任务!P19,⭐️ 主线任务!P20,⭐️ 主线任务!P21,⭐️ 主线任务!P22,⭐️ 主线任务!P23,⭐️ 主线任务!P25,⭐️ 主线任务!P26,⭐️ 主线任务!P27,⭐️ 主线任务!P28,⭐️ 主线任务!P29,⭐️ 主线任务!P30,⭐️ 主线任务!P24)</t>
  </si>
  <si>
    <t>=MAX(⭐️ 主线任务!N31,⭐️ 主线任务!N38,⭐️ 主线任务!N39,⭐️ 主线任务!N40,⭐️ 主线任务!N41,⭐️ 主线任务!N42,⭐️ 主线任务!N104,⭐️ 主线任务!N105,⭐️ 主线任务!N106,⭐️ 主线任务!N107,⭐️ 主线任务!N32,⭐️ 主线任务!N33,⭐️ 主线任务!N34,⭐️ 主线任务!N35,⭐️ 主线任务!N36,⭐️ 主线任务!N37,⭐️ 主线任务!N118,⭐️ 主线任务!N119,⭐️ 主线任务!N120,⭐️ 主线任务!N121,⭐️ 主线任务!N122,⭐️ 主线任务!N123,⭐️ 主线任务!N124,⭐️ 主线任务!N125,⭐️ 主线任务!N126,⭐️ 主线任务!N127,⭐️ 主线任务!N128,⭐️ 主线任务!N129,⭐️ 主线任务!N130,⭐️ 主线任务!N131,⭐️ 主线任务!N132,⭐️ 主线任务!N133,⭐️ 主线任务!N134,⭐️ 主线任务!N135,⭐️ 主线任务!N136,⭐️ 主线任务!N137,⭐️ 主线任务!N138,⭐️ 主线任务!N139,⭐️ 主线任务!N140,⭐️ 主线任务!N141,⭐️ 主线任务!N142,⭐️ 主线任务!N143,⭐️ 主线任务!N144,⭐️ 主线任务!N145,⭐️ 主线任务!N146,⭐️ 主线任务!N147,⭐️ 主线任务!N148,⭐️ 主线任务!N149,⭐️ 主线任务!N150)</t>
  </si>
  <si>
    <t>生成ysyxSoC的Verilog代码, 实现putch(), 观察NPC输出的行为, 正确实现串口的初始化, 输出前轮询串口的状态寄存器, RTFSC理解从flash中读出数据的过程, 接入ysyxSoC, 测试MROM的访问, 在ysyxSoC中输出第一个字符, 去掉换行也能输出, 为ysyxSoC添加AM运行时环境, 无法运行的测试, 重新添加DiffTest, 让NPC抛出Access Fault异常, 通过mem-test测试内存访问, 通过bootloader将数据段加载到内存, 从flash中读出数据, 实现基于SPI协议的位翻转模块, 通过SPI总线从flash中读出数据, 从flash中加载程序并执行, 通过XIP方式访问flash, 通过XIP方式执行flash中的程序, 用flash替代MROM, 添加学号CSR并输出学号, 通过中断等待SPI master传输完成, 实现PSRAM颗粒的仿真行为模型, 使用QPI协议访问PSRAM颗粒, 在ysyxSoC上运行microbench, 完整测试PSRAM的访问, 通过bootloader将程序加载到PSRAM中执行, 在PSRAM上执行RT-Thread, 实现bootloader的二级加载过程, 实现SDRAM颗粒的仿真行为模型, 完整测试SDRAM的访问, 将程序加载到SDRAM中执行, 将SDRAM控制器的数据位宽扩展到32位, 对SDRAM控制器进行字扩展, 通过程序实现NVBoard上的流水灯效果, 通过程序读入拨码开关的状态, 通过程序在7段数码管上展示学号, 将串口的TX引脚接入NVBoard, 通过NVBoard测试串口的输入功能, 通过串口在RT-Thread中键入命令, 让riscv32e-ysyxSoC从NVBoard读取键盘按键, 复习VGA的工作原理, 让riscv32e-ysyxSoC将像素信息输出到NVBoard, 通过NVBoard展示游戏, 通过RT-Thread运行其他AM程序, 通过ChipLink访问对端芯片的资源</t>
  </si>
  <si>
    <t>=AVERAGE(⭐️ 主线任务!P31,⭐️ 主线任务!P38,⭐️ 主线任务!P39,⭐️ 主线任务!P40,⭐️ 主线任务!P41,⭐️ 主线任务!P42,⭐️ 主线任务!P104,⭐️ 主线任务!P105,⭐️ 主线任务!P106,⭐️ 主线任务!P107,⭐️ 主线任务!P32,⭐️ 主线任务!P33,⭐️ 主线任务!P34,⭐️ 主线任务!P35,⭐️ 主线任务!P36,⭐️ 主线任务!P37,⭐️ 主线任务!P118,⭐️ 主线任务!P119,⭐️ 主线任务!P120,⭐️ 主线任务!P121,⭐️ 主线任务!P122,⭐️ 主线任务!P123,⭐️ 主线任务!P124,⭐️ 主线任务!P125,⭐️ 主线任务!P126,⭐️ 主线任务!P127,⭐️ 主线任务!P128,⭐️ 主线任务!P129,⭐️ 主线任务!P130,⭐️ 主线任务!P131,⭐️ 主线任务!P132,⭐️ 主线任务!P133,⭐️ 主线任务!P134,⭐️ 主线任务!P135,⭐️ 主线任务!P136,⭐️ 主线任务!P137,⭐️ 主线任务!P138,⭐️ 主线任务!P139,⭐️ 主线任务!P140,⭐️ 主线任务!P141,⭐️ 主线任务!P142,⭐️ 主线任务!P143,⭐️ 主线任务!P144,⭐️ 主线任务!P145,⭐️ 主线任务!P146,⭐️ 主线任务!P147,⭐️ 主线任务!P148,⭐️ 主线任务!P149,⭐️ 主线任务!P150)</t>
  </si>
  <si>
    <t>统计IPC, 添加性能计数器, 添加性能计数器(2), 根据性能计数器寻找合适的性能瓶颈, 校准访存延迟, 重新寻找优化瓶颈, 评估NPC的性能, 提升功能测试的效率, 观察程序的局部性, 实现icache, 适合缓存的地址空间, 估算dcache的理想收益, 通过形式化验证测试icache的实现, 统计AMAT, 实现cachesim, 压缩trace, 使用cachesim进行设计空间探索, 支持更大的块大小, 支持更大的块大小(2), 集成AXI接口的SDRAM控制器, 让icache支持突发传输, 实现AXI延迟模块, 评估突发传输方式的性能表现, 快速评估缺失代价, 优化程序的内存布局, icache的设计空间探索, 评估dcache的性价比, 复现缓存一致性问题, 实现fence.i指令, 寻找最高的综合频率</t>
  </si>
  <si>
    <t>=AVERAGE(⭐️ 主线任务!P43,⭐️ 主线任务!P49,⭐️ 主线任务!P50,⭐️ 主线任务!P51,⭐️ 主线任务!P52,⭐️ 主线任务!P44,⭐️ 主线任务!P45,⭐️ 主线任务!P46,⭐️ 主线任务!P108,⭐️ 主线任务!P109,⭐️ 主线任务!P110,⭐️ 主线任务!P111,⭐️ 主线任务!P112,⭐️ 主线任务!P113,⭐️ 主线任务!P114,⭐️ 主线任务!P115,⭐️ 主线任务!P116,⭐️ 主线任务!P117,⭐️ 主线任务!P151,⭐️ 主线任务!P152,⭐️ 主线任务!P153,⭐️ 主线任务!P154,⭐️ 主线任务!P155,⭐️ 主线任务!P156,⭐️ 主线任务!P157,⭐️ 主线任务!P158,⭐️ 主线任务!P159,⭐️ 主线任务!P160,⭐️ 主线任务!P161,⭐️ 主线任务!P207)</t>
  </si>
  <si>
    <t>=MAX(⭐️ 主线任务!N43,⭐️ 主线任务!N49,⭐️ 主线任务!N50,⭐️ 主线任务!N51,⭐️ 主线任务!N52,⭐️ 主线任务!N44,⭐️ 主线任务!N45,⭐️ 主线任务!N46,⭐️ 主线任务!N108,⭐️ 主线任务!N109,⭐️ 主线任务!N110,⭐️ 主线任务!N111,⭐️ 主线任务!N112,⭐️ 主线任务!N113,⭐️ 主线任务!N114,⭐️ 主线任务!N115,⭐️ 主线任务!N116,⭐️ 主线任务!N117,⭐️ 主线任务!N151,⭐️ 主线任务!N152,⭐️ 主线任务!N153,⭐️ 主线任务!N154,⭐️ 主线任务!N155,⭐️ 主线任务!N156,⭐️ 主线任务!N157,⭐️ 主线任务!N158,⭐️ 主线任务!N159,⭐️ 主线任务!N160,⭐️ 主线任务!N161,⭐️ 主线任务!N207)</t>
  </si>
  <si>
    <t>评估dcache的理想收益, 通过cachesim评估dcache的预期性能表现, 评估提升计算效率的理想收益, 实现简单的流水线处理器, 实现支持异常处理的流水线, 建设中, 评估简单流水线的性能, 定位性能瓶颈, 估算icache流水化带来的性能收益, 估算转发技术的理想性能提升, 实现icache的流水化, 实现转发技术, 教科书上的转发方案, 估算优化控制冒险相关阻塞带来的性能收益, 体会现代处理器中分支预测器的重要性, 实现branchsim, 实现分支预测器, 估算跳转指令推测执行正确的性能收益, 实现jal指令的跳转目标预测, 实现ret指令的跳转目标预测, 优化流水线, 设计反例, 在流水线中正确实现fence.i</t>
  </si>
  <si>
    <t>=AVERAGE(⭐️ 主线任务!P47,⭐️ 主线任务!P163,⭐️ 主线任务!P164,⭐️ 主线任务!P165,⭐️ 主线任务!P166,⭐️ 主线任务!P167,⭐️ 主线任务!P168,⭐️ 主线任务!P169,⭐️ 主线任务!P170,⭐️ 主线任务!P171,⭐️ 主线任务!P172,⭐️ 主线任务!P173,⭐️ 主线任务!P174,⭐️ 主线任务!P175,⭐️ 主线任务!P176,⭐️ 主线任务!P177,⭐️ 主线任务!P178,⭐️ 主线任务!P179,⭐️ 主线任务!P180,⭐️ 主线任务!P181,⭐️ 主线任务!P182,⭐️ 主线任务!P183,⭐️ 主线任务!P184)</t>
  </si>
  <si>
    <t>=MAX(⭐️ 主线任务!N47,⭐️ 主线任务!N163,⭐️ 主线任务!N164,⭐️ 主线任务!N165,⭐️ 主线任务!N166,⭐️ 主线任务!N167,⭐️ 主线任务!N168,⭐️ 主线任务!N169,⭐️ 主线任务!N170,⭐️ 主线任务!N171,⭐️ 主线任务!N172,⭐️ 主线任务!N173,⭐️ 主线任务!N174,⭐️ 主线任务!N175,⭐️ 主线任务!N176,⭐️ 主线任务!N177,⭐️ 主线任务!N178,⭐️ 主线任务!N179,⭐️ 主线任务!N180,⭐️ 主线任务!N181,⭐️ 主线任务!N182,⭐️ 主线任务!N183,⭐️ 主线任务!N184)</t>
  </si>
  <si>
    <t>=MAX(⭐️ 主线任务!N48,⭐️ 主线任务!N185,⭐️ 主线任务!N162,⭐️ 主线任务!N186,⭐️ 主线任务!N187,⭐️ 主线任务!N188,⭐️ 主线任务!N189,⭐️ 主线任务!N190)</t>
  </si>
  <si>
    <t>B阶段流片</t>
  </si>
  <si>
    <t>切换到32位ysyxSoC, 去除下降沿触发的时钟, 去除锁存器, 命名修改, 通过四值仿真检查X信号传播问题, 网表仿真, 再次检查你的代码, 考核申请步骤建设中</t>
  </si>
  <si>
    <t>=AVERAGE(⭐️ 主线任务!P48,⭐️ 主线任务!P185,⭐️ 主线任务!P162,⭐️ 主线任务!P186,⭐️ 主线任务!P187,⭐️ 主线任务!P188,⭐️ 主线任务!P189,⭐️ 主线任务!P190)</t>
  </si>
  <si>
    <t>A阶段</t>
  </si>
  <si>
    <t>实现RV32M乘除法器, 将RV32E改为RV32I, 使用更大的icache, 完成PA3.2, 完成PA3, 完成PA4.1, 在NPC上通过Nanos-lite运行Busybox, 完成PA4.2, 在NPC上运行支持虚存管理的Nanos-lite, 移植运行xv6, 启动最小Linux, 实现时钟中断, 在Linux上运行Busybox, 启动Debian, 建设中, 建设中</t>
  </si>
  <si>
    <t>=AVERAGE(⭐️ 主线任务!P191,⭐️ 主线任务!P192,⭐️ 主线任务!P193,⭐️ 主线任务!P194,⭐️ 主线任务!P195,⭐️ 主线任务!P196,⭐️ 主线任务!P197,⭐️ 主线任务!P198,⭐️ 主线任务!P199,⭐️ 主线任务!P200,⭐️ 主线任务!P201,⭐️ 主线任务!P202,⭐️ 主线任务!P203,⭐️ 主线任务!P204,⭐️ 主线任务!P205,⭐️ 主线任务!P206)</t>
  </si>
  <si>
    <t>=MAX(⭐️ 主线任务!N191,⭐️ 主线任务!N192,⭐️ 主线任务!N193,⭐️ 主线任务!N194,⭐️ 主线任务!N195,⭐️ 主线任务!N196,⭐️ 主线任务!N197,⭐️ 主线任务!N198,⭐️ 主线任务!N199,⭐️ 主线任务!N200,⭐️ 主线任务!N201,⭐️ 主线任务!N202,⭐️ 主线任务!N203,⭐️ 主线任务!N204,⭐️ 主线任务!N205,⭐️ 主线任务!N206)</t>
  </si>
  <si>
    <t>请打开链接【“一生一芯”学习记录使用手册】，查看该文档的具体使用方法。
1. 新学员需要迁移预学习记录到当前工作表
2. 请在【主线任务】工作表记录任务完成情况
3. 默认排序方式为【按日期正序排序】。如果你更习惯【按日期倒序排序】，可以在上方工具栏选择【排序】，改为【按日期倒序】，然后，你可以通过在第 1 行记录【右键点击】--&gt;【在上方插入 1 行】，来创建新的学习记录。</t>
  </si>
  <si>
    <t>日期</t>
  </si>
  <si>
    <t>计划任务</t>
  </si>
  <si>
    <t>总时长</t>
  </si>
  <si>
    <t>任务完成情况</t>
  </si>
  <si>
    <t>卡了一段时间的bug</t>
  </si>
  <si>
    <t>记录故事/心情</t>
  </si>
  <si>
    <t>周期</t>
  </si>
  <si>
    <t>2024/12/10</t>
  </si>
  <si>
    <t>第一周</t>
  </si>
  <si>
    <t>2024/12/18</t>
  </si>
  <si>
    <t>2024/12/23</t>
  </si>
  <si>
    <t>第二周</t>
  </si>
  <si>
    <t>第三周</t>
  </si>
  <si>
    <t>2024/12/30</t>
  </si>
  <si>
    <t>2025/1/6</t>
  </si>
  <si>
    <t>第四周</t>
  </si>
  <si>
    <t>2025/1/8</t>
  </si>
  <si>
    <t>2025/1/10</t>
  </si>
  <si>
    <t>2025/1/11</t>
  </si>
  <si>
    <t>第五周</t>
  </si>
  <si>
    <t>2025/1/13</t>
  </si>
  <si>
    <t>2025/1/14</t>
  </si>
  <si>
    <t>2025/1/16</t>
  </si>
  <si>
    <t>第六周</t>
  </si>
  <si>
    <t>2025/1/21</t>
  </si>
  <si>
    <t>2025/1/22</t>
  </si>
  <si>
    <t>2025/1/23</t>
  </si>
  <si>
    <t>2025/1/28</t>
  </si>
  <si>
    <t>195226803</t>
  </si>
  <si>
    <t>第八周</t>
  </si>
  <si>
    <t>2025/2/6</t>
  </si>
  <si>
    <t>2025/2/9</t>
  </si>
  <si>
    <t>第九周</t>
  </si>
  <si>
    <t>2025/2/10</t>
  </si>
  <si>
    <t>2025/2/11</t>
  </si>
  <si>
    <t>2025/2/13</t>
  </si>
  <si>
    <t>第十周</t>
  </si>
  <si>
    <t>2025/2/19</t>
  </si>
  <si>
    <t>2025/2/21</t>
  </si>
  <si>
    <t>2025/2/22</t>
  </si>
  <si>
    <t>2025/2/23</t>
  </si>
  <si>
    <t>第十一周</t>
  </si>
  <si>
    <t>2025/2/24</t>
  </si>
  <si>
    <t>2025/2/25</t>
  </si>
  <si>
    <t>2025/2/27</t>
  </si>
  <si>
    <t>2025/2/28</t>
  </si>
  <si>
    <t>第十二周</t>
  </si>
  <si>
    <t>2025/3/4</t>
  </si>
  <si>
    <t>2025/3/5</t>
  </si>
  <si>
    <t>2025/3/6</t>
  </si>
  <si>
    <t>2025/3/7</t>
  </si>
  <si>
    <t>2025/3/8</t>
  </si>
  <si>
    <t>第十三周</t>
  </si>
  <si>
    <t>2025/3/10</t>
  </si>
  <si>
    <t>2025/3/12</t>
  </si>
  <si>
    <t>2025/3/16</t>
  </si>
  <si>
    <t>第十四周</t>
  </si>
  <si>
    <t>2025/3/17</t>
  </si>
  <si>
    <t>2025/3/18</t>
  </si>
  <si>
    <t>2025/3/19</t>
  </si>
  <si>
    <t>2025/3/20</t>
  </si>
  <si>
    <t>第十五周</t>
  </si>
  <si>
    <t>2025/3/26</t>
  </si>
  <si>
    <t>2025/3/27</t>
  </si>
  <si>
    <t>第十六周</t>
  </si>
  <si>
    <t>2025/4/1</t>
  </si>
  <si>
    <t>2025/4/2</t>
  </si>
  <si>
    <t>2025/4/3</t>
  </si>
  <si>
    <t>第十七周</t>
  </si>
  <si>
    <t>2025/4/8</t>
  </si>
  <si>
    <t>2025/4/9</t>
  </si>
  <si>
    <t>2025/4/10</t>
  </si>
  <si>
    <t>2025/4/11</t>
  </si>
  <si>
    <t>2025/4/12</t>
  </si>
  <si>
    <t>第十八周</t>
  </si>
  <si>
    <t>2025/4/16</t>
  </si>
  <si>
    <t>2025/4/25</t>
  </si>
  <si>
    <t>第十九周</t>
  </si>
  <si>
    <t>2025/4/26</t>
  </si>
  <si>
    <t>第二十周</t>
  </si>
  <si>
    <t>2025/4/30</t>
  </si>
  <si>
    <t>第二十一周</t>
  </si>
  <si>
    <t>2025/5/6</t>
  </si>
  <si>
    <t>2025/5/8</t>
  </si>
  <si>
    <t>2025/5/9</t>
  </si>
  <si>
    <t>第二十三周</t>
  </si>
  <si>
    <t>2025/5/19</t>
  </si>
  <si>
    <t>2025/5/31</t>
  </si>
  <si>
    <t>任务总进度统计（排除选做）</t>
  </si>
  <si>
    <t>支线任务</t>
  </si>
  <si>
    <t>任务补充说明</t>
  </si>
  <si>
    <t>任务进度（自动生成）</t>
  </si>
  <si>
    <t>备注（可选）</t>
  </si>
  <si>
    <t>当前进度（可选）</t>
  </si>
  <si>
    <t>支线任务状态</t>
  </si>
  <si>
    <t>任务章节</t>
  </si>
  <si>
    <t>任务名称</t>
  </si>
  <si>
    <t>任务类型</t>
  </si>
  <si>
    <t>必做</t>
  </si>
  <si>
    <t>2024/5/1</t>
  </si>
  <si>
    <t>🧐 探索中</t>
  </si>
  <si>
    <t>C.1 支持RV32IM的NEMU</t>
  </si>
  <si>
    <t>C.1.1 PA2.1-不停计算的机器</t>
  </si>
  <si>
    <t>C.3 运行时环境和基础设施</t>
  </si>
  <si>
    <t>C.3.1 PA2.2-程序, 运行时环境与AM</t>
  </si>
  <si>
    <t>C.4 支持RV32E的单周期NPC</t>
  </si>
  <si>
    <t>C.4.1 搭建面向riscv32e-npc的运行时环境</t>
  </si>
  <si>
    <t>C.4.2 为NPC搭建基础设施</t>
  </si>
  <si>
    <t>C.5 设备和输入输出</t>
  </si>
  <si>
    <t>C.5.1 PA2.3-输入输出-串口</t>
  </si>
  <si>
    <t>C.5.2 在NPC中运行超级玛丽</t>
  </si>
  <si>
    <t>🥺 搁置选做</t>
  </si>
  <si>
    <t>选做</t>
  </si>
  <si>
    <t>C.6 异常处理和RT-Thread</t>
  </si>
  <si>
    <t>C.6.1 PA3.1-穿越时空的旅程</t>
  </si>
  <si>
    <t>C.6.2 PA4.1-启动RT-Thread</t>
  </si>
  <si>
    <t>C.6.3 在NPC中运行RT-Thread</t>
  </si>
  <si>
    <t>B.1 总线</t>
  </si>
  <si>
    <t>B.1.1 总线视角下的处理器设计</t>
  </si>
  <si>
    <t>B.1.2 系统总线</t>
  </si>
  <si>
    <t>B.1.3 AXI协议家族</t>
  </si>
  <si>
    <t>B.2.1 ysyxSoC</t>
  </si>
  <si>
    <t>B.2 SoC计算机系统</t>
  </si>
  <si>
    <t>B.2.3 更实用的SoC</t>
  </si>
  <si>
    <t>2025/3/11</t>
  </si>
  <si>
    <t>B.2.4 可重复编程的非易失存储器</t>
  </si>
  <si>
    <t>B.3 性能优化和简易缓存</t>
  </si>
  <si>
    <t>B.3.1 寻找性能瓶颈</t>
  </si>
  <si>
    <t>2025/4/13</t>
  </si>
  <si>
    <t>B.4 流水线处理器</t>
  </si>
  <si>
    <t>B.4.1 dcache</t>
  </si>
  <si>
    <t>B.5 流片</t>
  </si>
  <si>
    <t>B.5.1 流片前的准备工作</t>
  </si>
  <si>
    <t>支线任务1，【标题】是XXX, 这是该任务的支线任务2, 这是该任务的支线任务3, 这是支线任务4的标题, 这是该任务的支线任务5, 【示例，没勾选“完成设置”】  NEMU代码的可视化实现</t>
  </si>
  <si>
    <t>C.1.2 PA2.1-RTFM</t>
  </si>
  <si>
    <t>C.4.3 实现RV32E指令集</t>
  </si>
  <si>
    <t>2025/2/4</t>
  </si>
  <si>
    <t>C.5.1 PA2.3-输入输出-时钟</t>
  </si>
  <si>
    <t>C.5.1 PA2.3-输入输出-键盘</t>
  </si>
  <si>
    <t>C.5.1 PA2.3-输入输出-dtrace</t>
  </si>
  <si>
    <t>C.5.1 PA2.3-输入输出-VGA</t>
  </si>
  <si>
    <t>C.5.1 PA2.3-输入输出-声卡</t>
  </si>
  <si>
    <t>C.2 用RTL实现最简单的处理器</t>
  </si>
  <si>
    <t>C.2.1 在NPC中实现第一条指令</t>
  </si>
  <si>
    <t>C.2.2 让程序决定仿真何时结束</t>
  </si>
  <si>
    <t>C.1.3 PA2.1-程序, 运行时环境与AM</t>
  </si>
  <si>
    <t>C.3.2 PA2.2-基础设施(2)</t>
  </si>
  <si>
    <t>2025/2/8</t>
  </si>
  <si>
    <t>C.5.1 PA2.3-输入输出-冯诺依曼计算机系统</t>
  </si>
  <si>
    <t>B.2.2 最简单的SoC</t>
  </si>
  <si>
    <t>2025/4/27</t>
  </si>
  <si>
    <t>B.3.2 存储层次结构和局部性原理</t>
  </si>
  <si>
    <t>B.3.3 简易缓存</t>
  </si>
  <si>
    <t>2025/5/7</t>
  </si>
  <si>
    <t>B.3.4 形式化验证</t>
  </si>
  <si>
    <t>B.3.5 缓存的优化</t>
  </si>
  <si>
    <t>B.2.5 存储密度更大的随机存储器</t>
  </si>
  <si>
    <t>B.2.6 接入更多外设</t>
  </si>
  <si>
    <t>B.2.7 ChipLink</t>
  </si>
  <si>
    <t>B.3.6 缓存一致性</t>
  </si>
  <si>
    <t>2024/7/28</t>
  </si>
  <si>
    <t>B.4.2 流水线的简单实现</t>
  </si>
  <si>
    <t>B.4.3 流水线处理器的测试验证</t>
  </si>
  <si>
    <t>B.4.4 让流水线流起来</t>
  </si>
  <si>
    <t>B.4.4 fence.i的处理</t>
  </si>
  <si>
    <t>B.5.2 申请代码调试考核</t>
  </si>
  <si>
    <t>A 进阶</t>
  </si>
  <si>
    <t>A.1 乘除法器</t>
  </si>
  <si>
    <t>A.2 系统调用和应用程序</t>
  </si>
  <si>
    <t>A.3 虚存管理</t>
  </si>
  <si>
    <t>A.4 完整特权级和xv6</t>
  </si>
  <si>
    <t>A.5 启动Linux和Debian</t>
  </si>
  <si>
    <t>A.6 缓存进阶</t>
  </si>
  <si>
    <t>A.7 分支预测</t>
  </si>
  <si>
    <t>任务更新日期</t>
  </si>
  <si>
    <t>可申请提示</t>
  </si>
  <si>
    <t>关联阶段任务</t>
  </si>
  <si>
    <t>任务进度-平均值</t>
  </si>
  <si>
    <t>可申请考核进度条</t>
  </si>
  <si>
    <t>申请链接</t>
  </si>
  <si>
    <t>预学习, C.1 支持RV32IM的NEMU, C.2 用RTL实现最简单的处理器, C.3 运行时环境和基础设施, C.4 支持RV32E的单周期NPC, C.5 设备和输入输出, C.6 异常处理和RT-Thread</t>
  </si>
  <si>
    <t>=AVERAGE(🚀 任务进度!C2,🚀 任务进度!C3,🚀 任务进度!C4,🚀 任务进度!C5,🚀 任务进度!C6,🚀 任务进度!C7,🚀 任务进度!C8)</t>
  </si>
  <si>
    <t>2024年9月3日</t>
  </si>
  <si>
    <t>=AVERAGE(🚀 任务进度!C9,🚀 任务进度!C10,🚀 任务进度!C11,🚀 任务进度!C12,🚀 任务进度!C13)</t>
  </si>
  <si>
    <t>B.1 总线, B.2 SoC计算机系统, B.3 性能优化和简易缓存, B.4 流水线处理器, B.5 流片</t>
  </si>
  <si>
    <t>=AVERAGE(🚀 任务进度!C14)</t>
  </si>
  <si>
    <t>版本类型</t>
  </si>
  <si>
    <t>作者</t>
  </si>
  <si>
    <t>版本更新日期</t>
  </si>
  <si>
    <t>更新日志</t>
  </si>
  <si>
    <t>版本状态</t>
  </si>
  <si>
    <t>文档更新人</t>
  </si>
  <si>
    <t>贡献者</t>
  </si>
  <si>
    <t>更新情况</t>
  </si>
  <si>
    <t>版本号</t>
  </si>
  <si>
    <t>📦 历史版本</t>
  </si>
  <si>
    <t>🌈 LTS</t>
  </si>
  <si>
    <t>姜海天</t>
  </si>
  <si>
    <t>2024年5月3日</t>
  </si>
  <si>
    <t>2024年5月2日</t>
  </si>
  <si>
    <t>李天舒</t>
  </si>
  <si>
    <t>🍰 Beta</t>
  </si>
  <si>
    <t>2024年5月1日</t>
  </si>
  <si>
    <t>2024年4月29日</t>
  </si>
  <si>
    <t>2024年4月28日</t>
  </si>
  <si>
    <t>2024年4月27日</t>
  </si>
  <si>
    <t>2024年4月26日</t>
  </si>
  <si>
    <t>2024年4月23日</t>
  </si>
  <si>
    <t>🎁 当前版本</t>
  </si>
  <si>
    <t>2024年8月27日</t>
  </si>
  <si>
    <t>2024年7月27日</t>
  </si>
  <si>
    <t>于文龙</t>
  </si>
  <si>
    <r>
      <rPr>
        <color rgb="FF175CEB"/>
        <u/>
      </rPr>
      <t>这里可以是一个腾讯文档链接，或者其他你喜欢的链接，用于详细阐述该任务。</t>
    </r>
  </si>
  <si>
    <r>
      <rPr>
        <color rgb="FF175CEB"/>
        <u/>
      </rPr>
      <t>这里可以是一个腾讯文档链接，或者其他你喜欢的链接，用于详细阐述该任务。</t>
    </r>
  </si>
  <si>
    <r>
      <rPr>
        <color rgb="FF175CEB"/>
        <u/>
      </rPr>
      <t>这里可以是一个腾讯文档链接，或者其他你喜欢的链接，用于详细阐述该任务。</t>
    </r>
  </si>
  <si>
    <r>
      <rPr>
        <color rgb="FF175CEB"/>
        <u/>
      </rPr>
      <t>可以放一个腾讯文档链接，或者你喜欢的链接，详细描述任务</t>
    </r>
  </si>
  <si>
    <r>
      <rPr>
        <color rgb="FF175CEB"/>
        <u/>
      </rPr>
      <t>这里可以是一个腾讯文档链接，或者其他你喜欢的链接，用于详细阐述该任务。</t>
    </r>
  </si>
  <si>
    <r>
      <rPr>
        <color rgb="FF175CEB"/>
        <u/>
      </rPr>
      <t>NEMU中C代码结构的可视化实现</t>
    </r>
  </si>
  <si>
    <r>
      <rPr/>
      <t>支线任务1，【标题】是XXX</t>
    </r>
  </si>
  <si>
    <r>
      <rPr/>
      <t>简要概述你想做的东西</t>
    </r>
  </si>
  <si>
    <r>
      <rPr/>
      <t>这是该任务的支线任务2</t>
    </r>
  </si>
  <si>
    <r>
      <rPr/>
      <t>简要概述你想做的东西，内容是BBB</t>
    </r>
  </si>
  <si>
    <r>
      <rPr/>
      <t>这里可以写搁置原因</t>
    </r>
  </si>
  <si>
    <r>
      <rPr/>
      <t>这里可以写弃用原因</t>
    </r>
  </si>
  <si>
    <r>
      <rPr/>
      <t>这是该任务的支线任务3</t>
    </r>
  </si>
  <si>
    <r>
      <rPr/>
      <t>简要概述你想做的东西，内容是CCC</t>
    </r>
  </si>
  <si>
    <r>
      <rPr/>
      <t>这是支线任务4的标题</t>
    </r>
  </si>
  <si>
    <r>
      <rPr/>
      <t>简要概述支线任务内容</t>
    </r>
  </si>
  <si>
    <r>
      <rPr/>
      <t>这是该任务的支线任务5</t>
    </r>
  </si>
  <si>
    <r>
      <rPr/>
      <t>内容是EEE</t>
    </r>
  </si>
  <si>
    <r>
      <rPr/>
      <t xml:space="preserve">【示例，没勾选“完成设置”】 
</t>
    </r>
    <r>
      <rPr/>
      <t>NEMU代码的可视化实现</t>
    </r>
  </si>
  <si>
    <r>
      <rPr/>
      <t xml:space="preserve">需求：每次想要查看nemu中函数之间关系时，现在只有看代码和使用gdb两种方法。看代码可能面对在多个文件之间来回寻找的麻烦，使用gdb则更麻烦。且这两种方法都不直观。如果可以将nemu中函数图形化，可能会更直观方便。
</t>
    </r>
    <r>
      <rPr/>
      <t>解决：尝试使用cflow生成dot文件。</t>
    </r>
  </si>
  <si>
    <r>
      <rPr/>
      <t>预学习</t>
    </r>
  </si>
  <si>
    <r>
      <rPr/>
      <t>C.1 支持RV32IM的NEMU</t>
    </r>
  </si>
  <si>
    <r>
      <rPr/>
      <t>C.2 用RTL实现最简单的处理器</t>
    </r>
  </si>
  <si>
    <r>
      <rPr/>
      <t>C.3 运行时环境和基础设施</t>
    </r>
  </si>
  <si>
    <r>
      <rPr/>
      <t>C.4 支持RV32E的单周期NPC</t>
    </r>
  </si>
  <si>
    <r>
      <rPr/>
      <t>C.5 设备和输入输出</t>
    </r>
  </si>
  <si>
    <r>
      <rPr/>
      <t>C.6 异常处理和RT-Thread</t>
    </r>
  </si>
  <si>
    <r>
      <rPr/>
      <t>B.1 总线</t>
    </r>
  </si>
  <si>
    <r>
      <rPr/>
      <t>B.2 SoC计算机系统</t>
    </r>
  </si>
  <si>
    <r>
      <rPr/>
      <t>B.3 性能优化和简易缓存</t>
    </r>
  </si>
  <si>
    <r>
      <rPr/>
      <t>B.4 流水线处理器</t>
    </r>
  </si>
  <si>
    <r>
      <rPr/>
      <t>B.5 流片</t>
    </r>
  </si>
  <si>
    <r>
      <rPr/>
      <t>A 进阶</t>
    </r>
  </si>
  <si>
    <r>
      <rPr/>
      <t>详细说明完成任务情况（</t>
    </r>
    <r>
      <rPr>
        <b val="1"/>
        <color rgb="FFDE3C36"/>
      </rPr>
      <t>必填</t>
    </r>
    <r>
      <rPr/>
      <t>）</t>
    </r>
  </si>
  <si>
    <r>
      <rPr>
        <color rgb="FF000000"/>
      </rPr>
      <t>没有bug</t>
    </r>
  </si>
  <si>
    <r>
      <rPr>
        <color rgb="FF000000"/>
      </rPr>
      <t>看这个missing semester之前，我有一定Linux使用的经验。看这个missing semester对我来说意义最大的是系统性的了解了linux的一些用法。但是因为用法很杂很多，所以很难记忆，我觉得也没必要记忆。比如，数据整理这一课讲了好多好多命令，我觉得知道这些命令就行了，等到要用到这些命令的时候，给chatgpt功能描述，让它把Linux命令输出给我就好了。不必去记忆。</t>
    </r>
  </si>
  <si>
    <r>
      <rPr>
        <color rgb="FF175CEB"/>
        <u/>
      </rPr>
      <t>The Missing Semester of Your CS Education-课程概览与shell</t>
    </r>
  </si>
  <si>
    <r>
      <rPr>
        <color rgb="FF000000"/>
      </rPr>
      <t>2h</t>
    </r>
  </si>
  <si>
    <r>
      <rPr/>
      <t>配置vscode的clangd，简单处理器完成可以运行addi指令和ebreak</t>
    </r>
  </si>
  <si>
    <r>
      <rPr>
        <color rgb="FF000000"/>
      </rPr>
      <t>good</t>
    </r>
  </si>
  <si>
    <r>
      <rPr>
        <color rgb="FF175CEB"/>
        <u/>
      </rPr>
      <t>The Missing Semester of Your CS Education-课程概览与shell</t>
    </r>
  </si>
  <si>
    <r>
      <rPr>
        <color rgb="FF000000"/>
      </rPr>
      <t>这些shell命令和用法知道就好了。以后如果碰到，就去查一下。遇到的多了，就熟练了。</t>
    </r>
  </si>
  <si>
    <r>
      <rPr>
        <color rgb="FF175CEB"/>
        <u/>
      </rPr>
      <t>The Missing Semester of Your CS Education-Shell工具和脚本</t>
    </r>
  </si>
  <si>
    <r>
      <rPr>
        <color rgb="FF000000"/>
      </rPr>
      <t>vim我在看这个之前就用的很多了。通过这个lecture我知道了tabs和windows这样的概念和用法。但是macro那些花里胡哨的用法，我感觉很难掌握。</t>
    </r>
  </si>
  <si>
    <r>
      <rPr>
        <color rgb="FF175CEB"/>
        <u/>
      </rPr>
      <t>The Missing Semester of Your CS Education编辑器 (Vim)</t>
    </r>
  </si>
  <si>
    <r>
      <rPr>
        <color rgb="FF175CEB"/>
        <u/>
      </rPr>
      <t>The Missing Semester of Your CS Education-数据整理</t>
    </r>
  </si>
  <si>
    <r>
      <rPr>
        <color rgb="FF000000"/>
      </rPr>
      <t>一大堆命令，各式各样的参数。第一次学知道有这些命令就好，以后如果遇到了可以查一下。</t>
    </r>
  </si>
  <si>
    <r>
      <rPr>
        <color rgb="FF000000"/>
      </rPr>
      <t>vim的配置确实可以很复杂，各种各样的插件。我还使用了最简单的配置。</t>
    </r>
  </si>
  <si>
    <r>
      <rPr>
        <color rgb="FF175CEB"/>
        <u/>
      </rPr>
      <t>The Missing Semester of Your CS Education-命令行环境</t>
    </r>
  </si>
  <si>
    <r>
      <rPr>
        <color rgb="FF175CEB"/>
        <u/>
      </rPr>
      <t>The Missing Semester of Your CS Education-版本控制(Git)</t>
    </r>
  </si>
  <si>
    <r>
      <rPr>
        <color rgb="FF000000"/>
      </rPr>
      <t>以前只是会用git，但是原理丝毫不通。我也尝试问chatgpt git的原理，但是chatgpt似乎解释的不清楚。看了这个git讲义之后，基本就理解了。</t>
    </r>
  </si>
  <si>
    <r>
      <rPr>
        <color rgb="FF175CEB"/>
        <u/>
      </rPr>
      <t>Learn C the hard way</t>
    </r>
  </si>
  <si>
    <r>
      <rPr>
        <color rgb="FF000000"/>
      </rPr>
      <t>这个我没仔细做。我c语言基础不错。理解c语言要先理解操作系统和体系结构，这样以后c的本质就一目了然了。c不是c++，没有那么对奇怪的用法，所以它语法也很简单。所以这个部分我没仔细看。</t>
    </r>
  </si>
  <si>
    <r>
      <rPr>
        <color rgb="FF175CEB"/>
        <u/>
      </rPr>
      <t>Learn C the hard way</t>
    </r>
  </si>
  <si>
    <r>
      <rPr>
        <color rgb="FF000000"/>
      </rPr>
      <t>总体不是很难，引导做的很好。北邮数电实验是丢给你一个复杂的项目要求，然后一点指导没有。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</si>
  <si>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</si>
  <si>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</si>
  <si>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</si>
  <si>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</si>
  <si>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</si>
  <si>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</si>
  <si>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</si>
  <si>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</si>
  <si>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</si>
  <si>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</si>
  <si>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</si>
  <si>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</si>
  <si>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</si>
  <si>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>
        <color rgb="FF175CEB"/>
        <u/>
      </rPr>
      <t>数字电路与计算机组成实验</t>
    </r>
  </si>
  <si>
    <r>
      <rPr/>
      <t>完成PA1</t>
    </r>
  </si>
  <si>
    <r>
      <rPr>
        <color rgb="FF000000"/>
      </rPr>
      <t>pa实验我感觉不是很难，讲义交互做的很好。我之前（2024暑假）做过mit操作系统的lab，这个lab我觉得是要比pa难的。做pa实验让我更好的理解了模拟器（比如mit操作系统lab用的qemu），我之前一直对qemu不太理解，也不太会用，导致调试效率很低。pa1的nemu让我对模拟器更加熟悉了。</t>
    </r>
  </si>
  <si>
    <r>
      <rPr>
        <color rgb="FF000000"/>
      </rPr>
      <t>sdb.c的142-&gt;145行</t>
    </r>
  </si>
  <si>
    <r>
      <rPr>
        <color rgb="FF000000"/>
      </rPr>
      <t>表达式求值是pa1最复杂的部分了。但是也只是实现算法而不是自己想算法。</t>
    </r>
  </si>
  <si>
    <r>
      <rPr>
        <color rgb="FF000000"/>
      </rPr>
      <t>出现了内存溢出的错误。由于nemu.main中读取的表达式放不进buffer，导致了溢出</t>
    </r>
  </si>
  <si>
    <r>
      <rPr>
        <color rgb="FF000000"/>
      </rPr>
      <t>遇到问题。tools/gen-expr/gen-expr.c生成的表达式被放到c小程序里面被求出expected值，问题是这样求出的值是在64bit signed的状况下求出的。我尝试修改gcc的编译方式，没搞定。后面想到直接在generate的数字前边加上强制类型转换，最后在对表达式做一次数据清洗，就搞定了。</t>
    </r>
  </si>
  <si>
    <r>
      <rPr>
        <color rgb="FF000000"/>
      </rPr>
      <t>cpu-exec.c的42-&gt;46行</t>
    </r>
  </si>
  <si>
    <r>
      <rPr>
        <color rgb="FF000000"/>
      </rPr>
      <t>watchpoint实现不难</t>
    </r>
  </si>
  <si>
    <r>
      <rPr/>
      <t>4h</t>
    </r>
  </si>
  <si>
    <r>
      <rPr>
        <color rgb="FF000000"/>
      </rPr>
      <t>【腾讯文档】提问的智慧和别像弱智一样提问读后感</t>
    </r>
    <r>
      <rPr>
        <color rgb="FF175CEB"/>
        <u/>
      </rPr>
      <t>提问的智慧和别像弱智一样提问读后感</t>
    </r>
  </si>
  <si>
    <r>
      <rPr/>
      <t>读文章，写读后感。</t>
    </r>
  </si>
  <si>
    <r>
      <rPr/>
      <t>lab7状态机实验卡了不少时间。</t>
    </r>
  </si>
  <si>
    <r>
      <rPr/>
      <t>第一次做的时候学校里数电还没学到顺序逻辑电路，然后对verilog理解也不是很深刻，感觉做的不太好。现在学完了sequential logic和对verilog有了更深的理解之后，再去做一遍数字电路基础实验还是很有收获的。前几个lab是组合逻辑，很简单，我就没重新看。后面的寄存器，状态机是顺序逻辑，所以我重新做了一遍。顺序逻辑（也叫时序逻辑）在验证的时候，最有效的方法还是瞅modelsim或者verilator生成的波形，光对着代码瞅或者fpga都效果不佳。fpga能和人眼交互的就那么几个led/七段数码管/点阵显示，没有波形那么直观的。</t>
    </r>
  </si>
  <si>
    <r>
      <rPr/>
      <t>把数字电路基础实验lab6和lab7重新做了一遍</t>
    </r>
  </si>
  <si>
    <r>
      <rPr/>
      <t>5h</t>
    </r>
  </si>
  <si>
    <r>
      <rPr/>
      <t>这个yosys的makefile不是很灵活</t>
    </r>
  </si>
  <si>
    <r>
      <rPr/>
      <t>我利用这个开源eda分析了一下校内的数电项目的综合后的时序</t>
    </r>
  </si>
  <si>
    <r>
      <rPr>
        <color rgb="FF803C00"/>
      </rPr>
      <t>评估电路综合后的时序</t>
    </r>
  </si>
  <si>
    <r>
      <rPr/>
      <t>2h</t>
    </r>
  </si>
  <si>
    <r>
      <rPr/>
      <t>这还能有bug？</t>
    </r>
  </si>
  <si>
    <r>
      <rPr/>
      <t>预学习记录太臃肿，迁移过来以后表格变得好难看。</t>
    </r>
  </si>
  <si>
    <r>
      <rPr/>
      <t>复习期末考试，迁移预学习记录到这里</t>
    </r>
  </si>
  <si>
    <r>
      <rPr/>
      <t>1分钟</t>
    </r>
  </si>
  <si>
    <r>
      <rPr/>
      <t>很好的完成了</t>
    </r>
  </si>
  <si>
    <r>
      <rPr/>
      <t>复习期末考试，请假一周</t>
    </r>
  </si>
  <si>
    <r>
      <rPr/>
      <t>复习期末考试请假一周</t>
    </r>
  </si>
  <si>
    <r>
      <rPr/>
      <t>这周考完期末考试啦</t>
    </r>
  </si>
  <si>
    <r>
      <rPr/>
      <t>完成PA2——不停计算的机器</t>
    </r>
  </si>
  <si>
    <r>
      <rPr/>
      <t>1h</t>
    </r>
  </si>
  <si>
    <r>
      <rPr/>
      <t>完成</t>
    </r>
  </si>
  <si>
    <r>
      <rPr/>
      <t>好久没看ysyx了，感觉有点儿复杂</t>
    </r>
  </si>
  <si>
    <r>
      <rPr/>
      <t>完成PA2——RTFM</t>
    </r>
  </si>
  <si>
    <r>
      <rPr/>
      <t xml:space="preserve">只是完成了：RTFSC(2)
</t>
    </r>
    <r>
      <rPr/>
      <t>没完成：运行程序</t>
    </r>
  </si>
  <si>
    <r>
      <rPr/>
      <t>3h</t>
    </r>
  </si>
  <si>
    <r>
      <rPr/>
      <t xml:space="preserve">PA2完成了。但是没有cover到所有的inst。
</t>
    </r>
    <r>
      <rPr/>
      <t>用RTL实现最简单的处理器，这个尚未完成</t>
    </r>
  </si>
  <si>
    <r>
      <rPr/>
      <t>指令太多，有些麻烦</t>
    </r>
  </si>
  <si>
    <r>
      <rPr>
        <b val="1"/>
      </rPr>
      <t>有些麻烦</t>
    </r>
    <r>
      <rPr/>
      <t xml:space="preserve">
原本想用chisel写npc的，但是chisel上手太难了，遂放弃。于是用verilog去写，找了个riscv-sodor的电路图对着写，感觉控制逻辑很麻烦，目前只实现了addi。</t>
    </r>
  </si>
  <si>
    <r>
      <rPr/>
      <t xml:space="preserve">完成PA2——运行第一个客户程序
</t>
    </r>
    <r>
      <rPr/>
      <t xml:space="preserve">完成——用RTL实现最简单的处理器
</t>
    </r>
  </si>
  <si>
    <r>
      <rPr/>
      <t xml:space="preserve">学习chisel
</t>
    </r>
    <r>
      <rPr/>
      <t xml:space="preserve">完成——用RTL实现最简单的处理器
</t>
    </r>
  </si>
  <si>
    <r>
      <rPr/>
      <t>6h</t>
    </r>
  </si>
  <si>
    <r>
      <rPr/>
      <t xml:space="preserve">完美的完成了：在NPC中实现addi指令
</t>
    </r>
    <r>
      <rPr/>
      <t xml:space="preserve">也实现了：让程序决定仿真何时结束
</t>
    </r>
  </si>
  <si>
    <r>
      <rPr/>
      <t>这就是个工程问题，麻烦，但是不难</t>
    </r>
  </si>
  <si>
    <r>
      <rPr/>
      <t>verilator仿真比quartus快多了！</t>
    </r>
  </si>
  <si>
    <r>
      <rPr/>
      <t>目前把讲义看懂了</t>
    </r>
  </si>
  <si>
    <r>
      <rPr/>
      <t>am这个项目没有文档，全靠自己看源码，累啊！</t>
    </r>
  </si>
  <si>
    <r>
      <rPr/>
      <t>AM居然没有文档，讲义讲的很模棱两可。</t>
    </r>
  </si>
  <si>
    <r>
      <rPr/>
      <t xml:space="preserve">完成——程序, 运行时环境与AM
</t>
    </r>
  </si>
  <si>
    <r>
      <rPr/>
      <t>项目很复杂，对项目认识的加深需要时间的积累啊！</t>
    </r>
  </si>
  <si>
    <r>
      <rPr/>
      <t>8h</t>
    </r>
  </si>
  <si>
    <r>
      <rPr/>
      <t>成功地全部完成了</t>
    </r>
  </si>
  <si>
    <r>
      <rPr/>
      <t xml:space="preserve">要改Makefile，然后使得NEMU批量化执行指令。我一开始完全不知道咋整，后面随着对项目的认识水平提升，就搞明白了。好复杂的Makefile。
</t>
    </r>
    <r>
      <rPr/>
      <t>NEMU执行string.c测试的时候卡死了，感觉是死循环，我给NEmU改了一下内存的menuconfig然后就神奇的好了，很奇怪</t>
    </r>
  </si>
  <si>
    <r>
      <rPr/>
      <t>成功的完成了</t>
    </r>
  </si>
  <si>
    <r>
      <rPr/>
      <t xml:space="preserve">算数右移指令实现错了！
</t>
    </r>
    <r>
      <rPr/>
      <t xml:space="preserve">对于 带符号整数（如 int32_t），执行的是 算术右移，即符号位会被扩展。
</t>
    </r>
    <r>
      <rPr/>
      <t xml:space="preserve">对于 无符号整数（如 uint32_t），执行的是 逻辑右移，即高位会填充 0。
</t>
    </r>
    <r>
      <rPr/>
      <t xml:space="preserve">
但是mulh解决不了，感觉是编译器优化的问题</t>
    </r>
  </si>
  <si>
    <r>
      <rPr/>
      <t>实现ITRACE和MTRACE就是个工程问题，不难。但是实现FTRACE的时候很多东西我不会也不懂，我去看了一下jyyOS才搞明白原理的</t>
    </r>
  </si>
  <si>
    <r>
      <rPr/>
      <t xml:space="preserve">完成——bug诊断的利器 - 踪迹
</t>
    </r>
  </si>
  <si>
    <r>
      <rPr/>
      <t xml:space="preserve">没完成——为NPC实现HIT GOOD/BAD TRAP
</t>
    </r>
    <r>
      <rPr/>
      <t>完成了——其他</t>
    </r>
  </si>
  <si>
    <r>
      <rPr/>
      <t>ebreak指令需要进行16进制的比较，2进制的比较有问题</t>
    </r>
  </si>
  <si>
    <r>
      <rPr/>
      <t>很耗时，感觉啥也不会呢</t>
    </r>
  </si>
  <si>
    <r>
      <rPr/>
      <t xml:space="preserve">完成——搭建面向riscv32e-npc的运行时环境
</t>
    </r>
  </si>
  <si>
    <r>
      <rPr/>
      <t xml:space="preserve">通过DPI-C进行访问寄存器文件的时候遇到了大问题
</t>
    </r>
    <r>
      <rPr/>
      <t>rf_values[i/2] = rf[i]; .v文件传递过来的rf的索引是偶数倍的，不是1，2，3，4，。。这样的</t>
    </r>
  </si>
  <si>
    <r>
      <rPr/>
      <t xml:space="preserve">研究了很久NEMU的difftest，搞明白以后再去搞NPC的difftest，遇到了一些麻烦比如memcpy，NEMU和NPC模拟的memory是不一样的。
</t>
    </r>
    <r>
      <rPr/>
      <t>最大的麻烦是通过DPI-C进行访问寄存器文件</t>
    </r>
  </si>
  <si>
    <r>
      <rPr/>
      <t xml:space="preserve">完成——为NPC搭建基础设施
</t>
    </r>
    <r>
      <rPr/>
      <t>完成——为NEMU实现DiffTest</t>
    </r>
  </si>
  <si>
    <r>
      <rPr/>
      <t>10h</t>
    </r>
  </si>
  <si>
    <r>
      <rPr/>
      <t xml:space="preserve">实现了单步执行, 打印寄存器
</t>
    </r>
    <r>
      <rPr/>
      <t xml:space="preserve">没实现扫描内存
</t>
    </r>
    <r>
      <rPr/>
      <t xml:space="preserve">实现了执行指令的时候打印指令
</t>
    </r>
    <r>
      <rPr/>
      <t xml:space="preserve">没有实现 mtrace和ftrace了
</t>
    </r>
    <r>
      <rPr/>
      <t xml:space="preserve">实现了DiffTest
</t>
    </r>
    <r>
      <rPr/>
      <t>完成了——为NEMU实现DiffTest</t>
    </r>
  </si>
  <si>
    <r>
      <rPr/>
      <t>写cpu很简单，测试修bug太麻烦了</t>
    </r>
  </si>
  <si>
    <r>
      <rPr/>
      <t xml:space="preserve">完成——实现RV32E指令集
</t>
    </r>
  </si>
  <si>
    <r>
      <rPr/>
      <t>15h</t>
    </r>
  </si>
  <si>
    <r>
      <rPr/>
      <t xml:space="preserve">添加了mtrace的支持
</t>
    </r>
    <r>
      <rPr/>
      <t>在NPC中正确运行所有cpu-tests</t>
    </r>
  </si>
  <si>
    <r>
      <rPr/>
      <t xml:space="preserve">bug太多，列举不过来了。
</t>
    </r>
    <r>
      <rPr/>
      <t>似乎内存的差分测试实现有问题，只比较寄存器的difftest可以通过，但是比较内存的difftest就通不过，而且行为很奇怪</t>
    </r>
  </si>
  <si>
    <r>
      <rPr/>
      <t xml:space="preserve">完成—— 观察ALU的综合结果
</t>
    </r>
  </si>
  <si>
    <r>
      <rPr/>
      <t>很简单</t>
    </r>
  </si>
  <si>
    <r>
      <rPr/>
      <t>似乎这个开源eda 的Verilog 解析器有问题，在读取网表文件的时候发生错误，我不知道为啥</t>
    </r>
  </si>
  <si>
    <r>
      <rPr/>
      <t>我写的这个cpu大小是23688.896000 平方微米，包含了236,888 个晶体管</t>
    </r>
  </si>
  <si>
    <r>
      <rPr/>
      <t>全部完成</t>
    </r>
  </si>
  <si>
    <r>
      <rPr/>
      <t>实现IOE的时候，要运行real-time clock test这个测试，我一开始是make ARCH=riscv32e-nemu ALL=rtc run去运行的，但是总是assert报错，源代码瞅了半天没瞅出来，后面发现应该是通过make ARCH=riscv32e-nemu mainargs=t run的方式去运行</t>
    </r>
  </si>
  <si>
    <r>
      <rPr/>
      <t>NEMU在设备这块实现的略有些复杂，我看的很吃力。</t>
    </r>
  </si>
  <si>
    <r>
      <rPr/>
      <t xml:space="preserve">阅读完PA2的输入输出的讲义
</t>
    </r>
    <r>
      <rPr/>
      <t xml:space="preserve">运行了hello world
</t>
    </r>
    <r>
      <rPr/>
      <t xml:space="preserve">实现了printf
</t>
    </r>
    <r>
      <rPr/>
      <t xml:space="preserve">运行了alu-tests
</t>
    </r>
    <r>
      <rPr/>
      <t>实现了IOE</t>
    </r>
  </si>
  <si>
    <r>
      <rPr/>
      <t xml:space="preserve">看看NEMU跑多快
</t>
    </r>
    <r>
      <rPr/>
      <t xml:space="preserve">实现DTRACE
</t>
    </r>
    <r>
      <rPr/>
      <t>实现IOE(2)</t>
    </r>
  </si>
  <si>
    <r>
      <rPr/>
      <t xml:space="preserve">完成了看看NEMU跑多快
</t>
    </r>
    <r>
      <rPr/>
      <t xml:space="preserve">实现了DTRACE
</t>
    </r>
    <r>
      <rPr/>
      <t>实现了IOE(2)</t>
    </r>
  </si>
  <si>
    <r>
      <rPr/>
      <t>我自己写的timer.c代码下NEMU跑分比core i9快4倍，我RTFSC都要看瞎了也没看出来bug。我把这个问题发给deepseek，它一下子就给我解决了，NEMU的性能实际只有core i9的0.5%</t>
    </r>
  </si>
  <si>
    <r>
      <rPr/>
      <t xml:space="preserve">我怀疑我laptop的显示器驱动有问题
</t>
    </r>
    <r>
      <rPr/>
      <t xml:space="preserve">PA2输入输出先搁置一下，暂时解决不了
</t>
    </r>
    <r>
      <rPr/>
      <t xml:space="preserve">
laptop暂时黑屏的问题很神奇的解决了。我原本是修改了SDL_CreateWindowAndRenderer的代码，然后就不暂时黑屏了，后来我又修改回去，也没问题，这就很神奇
</t>
    </r>
    <r>
      <rPr/>
      <t xml:space="preserve">
没想到video.c里面有bug:
</t>
    </r>
    <r>
      <rPr/>
      <t xml:space="preserve">io_write(AM_GPU_FBDRAW, x * w, y * h, color_buf, w, h, false);
</t>
    </r>
    <r>
      <rPr/>
      <t xml:space="preserve">这里边false参数导致nemu的gpu不渲染图像，改成true就好了
</t>
    </r>
    <r>
      <rPr/>
      <t>其实上面那个不是bug，是我的代码有bug，在__am_gpu_fbdraw函数里面，不能 ： if (w &lt;= 0 || h &lt;= 0) return;</t>
    </r>
  </si>
  <si>
    <r>
      <rPr/>
      <t>调了半天，终于在deepseek深度思考的帮助下搞定了。</t>
    </r>
  </si>
  <si>
    <r>
      <rPr/>
      <t xml:space="preserve">实现PA2.3-输入输出-VGA
</t>
    </r>
    <r>
      <rPr/>
      <t>实现PA2.3-输入输出-冯诺依曼计算机系统</t>
    </r>
  </si>
  <si>
    <r>
      <rPr/>
      <t>7h</t>
    </r>
  </si>
  <si>
    <r>
      <rPr/>
      <t>终于全部搞定了</t>
    </r>
  </si>
  <si>
    <r>
      <rPr/>
      <t>无</t>
    </r>
  </si>
  <si>
    <r>
      <rPr/>
      <t xml:space="preserve">阅读PA3批处理系统
</t>
    </r>
  </si>
  <si>
    <r>
      <rPr/>
      <t>完成 PA3.1-穿越时空的旅程</t>
    </r>
  </si>
  <si>
    <r>
      <rPr/>
      <t>发现了klib中printf实现有bug。原来的printf不支持%x，现在支持了</t>
    </r>
  </si>
  <si>
    <r>
      <rPr/>
      <t>很简单，比IO简单多了</t>
    </r>
  </si>
  <si>
    <r>
      <rPr/>
      <t xml:space="preserve">为NPC添加串口和时钟
</t>
    </r>
    <r>
      <rPr/>
      <t>重构npc</t>
    </r>
  </si>
  <si>
    <r>
      <rPr/>
      <t xml:space="preserve">重构npc遇到了bug，我给npc的仿真环境添加了readline的支持，但是编译的时候需要动态链接，我不懂动态链接所以遇到了些bug。llm给出的动态链接选项是错误的，我在查看了文档之后才搞定。
</t>
    </r>
  </si>
  <si>
    <r>
      <rPr/>
      <t>很有收获</t>
    </r>
  </si>
  <si>
    <r>
      <rPr/>
      <t>重构npc</t>
    </r>
  </si>
  <si>
    <r>
      <rPr/>
      <t>尚在进行中</t>
    </r>
  </si>
  <si>
    <r>
      <rPr/>
      <t>我是用verilog写的cpu，所以重构起来有些麻烦</t>
    </r>
  </si>
  <si>
    <r>
      <rPr/>
      <t>重构npc &amp; 让DiffTest适配多周期处理器</t>
    </r>
  </si>
  <si>
    <r>
      <rPr/>
      <t>成功地重构了npc，并且通过了difftest</t>
    </r>
  </si>
  <si>
    <r>
      <rPr/>
      <t>WBU在使得rf_wen=1后，比如再把rf_wen重置为0，否则影响后续指令的执行</t>
    </r>
  </si>
  <si>
    <r>
      <rPr/>
      <t>分布式控制的 CPU 天生适合流水线（pipeline）架构。如果不涉及 WBU（写回单元）和 IFU（指令获取单元）之间的通信，那么它本质上就是一个流水线处理器，只是尚未处理相关 hazard（冒险/冲突）问题。</t>
    </r>
  </si>
  <si>
    <r>
      <rPr/>
      <t>评估单周期NPC的主频和程序性能</t>
    </r>
  </si>
  <si>
    <r>
      <rPr/>
      <t xml:space="preserve">时钟频率是514.810 MHz，运行程序需要的周期是：975，702，665
</t>
    </r>
    <r>
      <rPr/>
      <t xml:space="preserve">算出执行程序需要1.8952675064586935秒。
</t>
    </r>
    <r>
      <rPr/>
      <t>在native上，执行程序只需要7.607 ms，所以说我设计的处理器和Intel设计的处理器还是有差距的。Intel Ultra 5比我设计的cpu快249.1倍</t>
    </r>
  </si>
  <si>
    <r>
      <rPr/>
      <t>在编写Verilog实现CPU时，出现bug是难以避免的，很难一次性就做到完全正确。我们只需按照设计思路初步实现功能，然后以测试为导向，逐步发现并修复所有问题即可。</t>
    </r>
  </si>
  <si>
    <r>
      <rPr/>
      <t>将IFU访问的存储器改造成SRAM</t>
    </r>
  </si>
  <si>
    <r>
      <rPr/>
      <t>将LSU(访存单元)访问的存储器改造成SRAM</t>
    </r>
  </si>
  <si>
    <r>
      <rPr/>
      <t>同上</t>
    </r>
  </si>
  <si>
    <r>
      <rPr/>
      <t xml:space="preserve">代码中存在不少问题，尤其是在模块间的通信方面。由于不同模块之间的交互逻辑较为复杂，容易引发潜在的错误。然而，如果在每个模块内部引入状态机来管理其行为，则可以显著简化模块间的通信逻辑，提升整体设计的可维护性和可靠性。
</t>
    </r>
    <r>
      <rPr/>
      <t xml:space="preserve">
例如，在 UART 输出时发现了一个问题：同一个字符会被连续输出四次。经过分析，这是因为在多个时钟周期内，write data valid 信号持续有效，导致数据被重复写入。为了解决这一问题，需要对 MEM 模块的状态机逻辑进行调整，确保 write data valid 信号仅在一个周期内有效，从而避免数据重复输出的问题。</t>
    </r>
  </si>
  <si>
    <r>
      <rPr/>
      <t xml:space="preserve">成功将 NPC 完全重构为分布式控制的处理器，整个过程令人感到非常兴奋。新的设计不仅提升了模块间的协作效率，还增强了处理器的整体灵活性和可扩展性。此外，内存访问部分现已支持 AXI-Lite 协议，进一步优化了数据交互的效率与规范性。
</t>
    </r>
    <r>
      <rPr/>
      <t xml:space="preserve">
</t>
    </r>
  </si>
  <si>
    <r>
      <rPr/>
      <t xml:space="preserve">（1）将IFU和LSU的访存接口改造成AXI-Lite
</t>
    </r>
    <r>
      <rPr/>
      <t xml:space="preserve">（2）避免握手的死锁和活锁
</t>
    </r>
  </si>
  <si>
    <r>
      <rPr/>
      <t xml:space="preserve">评估NPC的主频和程序性能
</t>
    </r>
    <r>
      <rPr/>
      <t xml:space="preserve">测试总线的实现
</t>
    </r>
    <r>
      <rPr/>
      <t>实现AXI-Lite仲裁器</t>
    </r>
  </si>
  <si>
    <r>
      <rPr/>
      <t xml:space="preserve">​npc的时钟频率是557.455 MHz，比第一次评估的时候提高了40MHz
</t>
    </r>
    <r>
      <rPr/>
      <t>运行测试程序需要576,521,690个周期，计算的运行时间是1.034 秒。</t>
    </r>
  </si>
  <si>
    <r>
      <rPr/>
      <t>把verilog实现的npc改写成chisel的版本</t>
    </r>
  </si>
  <si>
    <r>
      <rPr/>
      <t>96h</t>
    </r>
  </si>
  <si>
    <r>
      <rPr/>
      <t>学习chisel大约两天，从verilog改写为chisel并测试大约也是两天。chisel最大的优点是写rtl比较方便，rtl写出来比较直观。但是测试，和verilog的流程是一样的，甚至多了个从chisel编译到verilog的流程</t>
    </r>
  </si>
  <si>
    <r>
      <rPr/>
      <t xml:space="preserve">chisel面向对象的特性很好用，我用的也很多，但是chisel函数式的特性我基本没用到，还得学习。
</t>
    </r>
    <r>
      <rPr/>
      <t xml:space="preserve">chisel写出来的rtl就是能知道自己在写什么，总体来说代码简洁逻辑清晰（相比于verilog）
</t>
    </r>
    <r>
      <rPr/>
      <t>总线协议是真的复杂，我的npc当前的改动主要集中在ifu和lsu中的状态机，其他的即便不需要改。</t>
    </r>
  </si>
  <si>
    <r>
      <rPr/>
      <t xml:space="preserve">优化chisel版本的npc代码
</t>
    </r>
    <r>
      <rPr/>
      <t xml:space="preserve">实现AXI-Lite接口的UART功能
</t>
    </r>
    <r>
      <rPr/>
      <t xml:space="preserve">生成ysyxSoC的Verilog代码
</t>
    </r>
    <r>
      <rPr/>
      <t>接入ysyxSoC</t>
    </r>
  </si>
  <si>
    <r>
      <rPr/>
      <t>做的我累死了，我要歇几天了。</t>
    </r>
  </si>
  <si>
    <r>
      <rPr/>
      <t xml:space="preserve">测试MROM的访问
</t>
    </r>
    <r>
      <rPr/>
      <t xml:space="preserve">在ysyxSoC中输出第一个字符
</t>
    </r>
    <r>
      <rPr/>
      <t>为ysyxSoC添加AM运行时环境</t>
    </r>
  </si>
  <si>
    <r>
      <rPr/>
      <t xml:space="preserve">（1）ysyx_soc的SRAM居然不支持ar.size参数！！！！
</t>
    </r>
    <r>
      <rPr/>
      <t xml:space="preserve">axi4-lite不支持 ar.size 参数，每次传输的数据宽度固定为 ​32 位。所以在读取数据时，需要从读取的32位数据中选择相应的Byte或者Half。但是axi4支持 ar.size 参数，所以AlignmentNetwork模块需要去除“选择相应的Byte或者Half”的功能。软件可以保证编译出的指令访问的地址满足特定的对齐要求。
</t>
    </r>
    <r>
      <rPr/>
      <t xml:space="preserve">（2）链接器根据链接脚本生成需要被加载到内存的bin文件，.text和.data段我都指定加载地址是mrom，但如果指定.bss的加载地址是sram，链接器会报错。这是因为加载地址不连续了。
</t>
    </r>
  </si>
  <si>
    <r>
      <rPr/>
      <t>周末要休息了</t>
    </r>
  </si>
  <si>
    <r>
      <rPr/>
      <t xml:space="preserve">重新添加DiffTest
</t>
    </r>
    <r>
      <rPr/>
      <t>通过bootloader将数据段加载到内存</t>
    </r>
  </si>
  <si>
    <r>
      <rPr/>
      <t xml:space="preserve">（1）UART 窄传输访问问题
</t>
    </r>
    <r>
      <rPr/>
      <t xml:space="preserve">在 YSYXSoC 设计中，UART 需要支持按 size 进行窄传输访问，而 MROM 和 SRAM 并不支持这一机制。这种不匹配导致了一些奇怪的 Bug，可能是在访问 UART 时，读写请求的 size 和存储器的行为不一致，从而引发异常。
</t>
    </r>
    <r>
      <rPr/>
      <t xml:space="preserve">（2）Memory Test 发现 malloc 崩溃
</t>
    </r>
    <r>
      <rPr/>
      <t xml:space="preserve">在进行内存测试时，malloc 发生了异常。
</t>
    </r>
    <r>
      <rPr/>
      <t xml:space="preserve">（3）在 NPC 运行过程中，mainargs 负责传递命令行参数，而它的插入逻辑依赖于 elf objcopy 生成的 bin 文件。然而，在仿真环境中，读取的却是原始 ELF 文件，而非转换后的 bin。这就导致 mainargs 并没有被正确加载到仿真环境，最终在运行时丢失了传递的参数
</t>
    </r>
  </si>
  <si>
    <r>
      <rPr/>
      <t xml:space="preserve">无法运行的测试
</t>
    </r>
    <r>
      <rPr/>
      <t xml:space="preserve">去掉换行也能输出
</t>
    </r>
    <r>
      <rPr/>
      <t xml:space="preserve">通过mem-test测试内存访问
</t>
    </r>
    <r>
      <rPr/>
      <t xml:space="preserve">实现putch()
</t>
    </r>
    <r>
      <rPr/>
      <t xml:space="preserve">观察NPC输出的行为
</t>
    </r>
    <r>
      <rPr/>
      <t xml:space="preserve">正确实现串口的初始化
</t>
    </r>
    <r>
      <rPr/>
      <t>输出前轮询串口的状态寄存器</t>
    </r>
  </si>
  <si>
    <r>
      <rPr/>
      <t>12h</t>
    </r>
  </si>
  <si>
    <r>
      <rPr/>
      <t>让NPC抛出Access Fault异常</t>
    </r>
  </si>
  <si>
    <r>
      <rPr/>
      <t>20m</t>
    </r>
  </si>
  <si>
    <r>
      <rPr/>
      <t>很简单，但是各种事情太多了。</t>
    </r>
  </si>
  <si>
    <r>
      <rPr/>
      <t>bug太多了！位翻转模块时许有点问题。设置GO_BSY bit有些细节没注意。Endianness细节也很多。SS寄存器手册就没讲清楚。flash.v里面有点问题，我给他修正了。</t>
    </r>
  </si>
  <si>
    <r>
      <rPr/>
      <t>没见过写的这么垃圾的手册。首先有些地方是错的，其次很多point都没有cover到。</t>
    </r>
  </si>
  <si>
    <r>
      <rPr/>
      <t xml:space="preserve">实现基于SPI协议的位翻转模块
</t>
    </r>
    <r>
      <rPr/>
      <t>通过SPI总线从flash中读出数据</t>
    </r>
  </si>
  <si>
    <r>
      <rPr/>
      <t>20h</t>
    </r>
  </si>
  <si>
    <r>
      <rPr/>
      <t xml:space="preserve">从flash中加载程序并执行
</t>
    </r>
    <r>
      <rPr/>
      <t xml:space="preserve">通过XIP方式访问flash
</t>
    </r>
    <r>
      <rPr/>
      <t xml:space="preserve">通过XIP方式执行flash中的程序
</t>
    </r>
    <r>
      <rPr/>
      <t xml:space="preserve">用flash替代MROM
</t>
    </r>
  </si>
  <si>
    <r>
      <rPr/>
      <t xml:space="preserve">bug太多了，主要集中在spi_top_apb.v文件中。如果在状态DONE时没有if (!in_penable &amp;&amp; !in_psel) 这个检查，就会对同一个地址读两次。此外，在第二次读取之间，需要做初始化，it works，但是我不理解为什么：          flash_wb_adr_i &lt;= 5'b0;
</t>
    </r>
    <r>
      <rPr/>
      <t xml:space="preserve">          flash_wb_dat_i &lt;= 32'b0;
</t>
    </r>
    <r>
      <rPr/>
      <t xml:space="preserve">          flash_wb_sel_i &lt;= 4'b0;
</t>
    </r>
    <r>
      <rPr/>
      <t xml:space="preserve">          flash_wb_we_i &lt;= 1'b0;
</t>
    </r>
    <r>
      <rPr/>
      <t xml:space="preserve">          flash_wb_stb_i &lt;= 1'b0;
</t>
    </r>
    <r>
      <rPr/>
      <t xml:space="preserve">          flash_wb_cyc_i &lt;= 1'b0;
</t>
    </r>
    <r>
      <rPr/>
      <t xml:space="preserve">          flash_wb_ack_o &lt;= 1'b0;</t>
    </r>
  </si>
  <si>
    <r>
      <rPr/>
      <t>很开心</t>
    </r>
  </si>
  <si>
    <r>
      <rPr/>
      <t>实现AXI-Lite接口的CLINT</t>
    </r>
  </si>
  <si>
    <r>
      <rPr/>
      <t>完成了</t>
    </r>
  </si>
  <si>
    <r>
      <rPr/>
      <t xml:space="preserve">实现PSRAM颗粒的仿真行为模型
</t>
    </r>
    <r>
      <rPr/>
      <t xml:space="preserve">使用QPI协议访问PSRAM颗粒
</t>
    </r>
    <r>
      <rPr/>
      <t xml:space="preserve">在ysyxSoC上运行microbench
</t>
    </r>
    <r>
      <rPr/>
      <t>完整测试PSRAM的访问</t>
    </r>
  </si>
  <si>
    <r>
      <rPr/>
      <t xml:space="preserve">通过bootloader将程序加载到PSRAM中执行
</t>
    </r>
    <r>
      <rPr/>
      <t>实现bootloader的二级加载过程</t>
    </r>
  </si>
  <si>
    <r>
      <rPr/>
      <t xml:space="preserve">实现SDRAM颗粒的仿真行为模型
</t>
    </r>
    <r>
      <rPr/>
      <t xml:space="preserve">完整测试SDRAM的访问
</t>
    </r>
    <r>
      <rPr/>
      <t>将程序加载到SDRAM中执行</t>
    </r>
  </si>
  <si>
    <r>
      <rPr/>
      <t>有bug</t>
    </r>
  </si>
  <si>
    <r>
      <rPr/>
      <t xml:space="preserve">将程序加载到SDRAM中执行
</t>
    </r>
  </si>
  <si>
    <r>
      <rPr/>
      <t>70h</t>
    </r>
  </si>
  <si>
    <r>
      <rPr/>
      <t>把cpu-test加载到SDRAM执行可以通过差分测试。</t>
    </r>
  </si>
  <si>
    <r>
      <rPr/>
      <t>bug太多了。最开始的SDRAM版本是通过实例化多维reg去模拟内存的，但是这个版本的代码我搞了一个礼拜没把bug搞完。后面重构代码，用cpp模拟内存，然后一晚上就把cpu-test跑通了。但是microbench运行还有bug。</t>
    </r>
  </si>
  <si>
    <r>
      <rPr/>
      <t>痛苦调试</t>
    </r>
  </si>
  <si>
    <r>
      <rPr/>
      <t>microbench和coremark都可以成功在SDRAM上运行了</t>
    </r>
  </si>
  <si>
    <r>
      <rPr/>
      <t xml:space="preserve">在对 SDRAM 进行字扩展时，数据线的仲裁时机至关重要。最初，我选择在 SDRAM 控制器内部执行仲裁，但由于控制器并非我所设计，调试过程中遇到了许多难以排查的 Bug，导致问题定位变得模糊不清。后来，我改为在 SDRAM 内部进行仲裁，因为 SDRAM 是我自行设计的，在这一层面进行仲裁不仅逻辑更加清晰，也使得代码的可读性和可维护性得到了提升。这次调整让我更加深刻地体会到，选择合适的技术路线对于项目的顺利推进至关重要。
</t>
    </r>
    <r>
      <rPr/>
      <t xml:space="preserve">
另一个关键问题是时序。在仿真过程中，我发现 Verilator 的仿真时序与实际硬件的时序存在一定偏差，并且与 ModelSim 的仿真时序也有所不同。这可能与我的采样方式有关，但具体原因尚未完全确定，还需要进一步深入研究和验证。这也提醒我，在硬件设计中，时序问题往往比逻辑功能更具挑战性，尤其是在不同的仿真工具之间，如何确保时序一致性是一个值得深入探索的课题。</t>
    </r>
  </si>
  <si>
    <r>
      <rPr/>
      <t>软件模拟比verilog写的硬件调试起来要高效的多。用verilog模拟SDRAM的时候，我调试了一个礼拜的时间也没搞定。后来我迁移到了cpp模拟SDRAM，然后调了一个晚上+一个早上就搞完了。</t>
    </r>
  </si>
  <si>
    <r>
      <rPr/>
      <t xml:space="preserve">将程序加载到SDRAM中执行
</t>
    </r>
    <r>
      <rPr/>
      <t xml:space="preserve">将SDRAM控制器的数据位宽扩展到32位
</t>
    </r>
    <r>
      <rPr/>
      <t>对SDRAM控制器进行字扩展</t>
    </r>
  </si>
  <si>
    <r>
      <rPr/>
      <t>在进行性能优化之前，我打算先对之前的内容进行复习和巩固。</t>
    </r>
  </si>
  <si>
    <r>
      <rPr/>
      <t xml:space="preserve">优化了npc仿真环境的代码
</t>
    </r>
    <r>
      <rPr/>
      <t>Add support for mtrace and itrace</t>
    </r>
  </si>
  <si>
    <r>
      <rPr/>
      <t xml:space="preserve">更换JVM:使用GraalVM代替OpenJDK
</t>
    </r>
    <r>
      <rPr/>
      <t>使用CIRCT把chisel编译到verilog</t>
    </r>
  </si>
  <si>
    <r>
      <rPr/>
      <t xml:space="preserve">学习rocket chip的diplomacy框架
</t>
    </r>
    <r>
      <rPr/>
      <t>尝试把npc的时钟优化到1GHz</t>
    </r>
  </si>
  <si>
    <r>
      <rPr/>
      <t xml:space="preserve">完成
</t>
    </r>
  </si>
  <si>
    <r>
      <rPr/>
      <t xml:space="preserve">NEMU里面CSRR指令实现出了bug，导致read mepc变成了read mtvec。
</t>
    </r>
    <r>
      <rPr/>
      <t xml:space="preserve">NEMU里面的mret指令也实现错了，没有对mepc+4，导致trap的循环。
</t>
    </r>
    <r>
      <rPr/>
      <t>NPC中csrrw命令的时序有问题，csr reg write enable信号不能及时熄灭</t>
    </r>
  </si>
  <si>
    <r>
      <rPr/>
      <t xml:space="preserve">实现上下文切换
</t>
    </r>
    <r>
      <rPr/>
      <t>实现在NPC上运行yield-os</t>
    </r>
  </si>
  <si>
    <r>
      <rPr/>
      <t>最开始，我发现 linker.ld 无法捕获 .data.extra section，后来才意识到这是因为 .data.extra 是在 extra.ld 中定义的，并被放置在了 .data section 的前面。然而，由于多级加载带来的复杂性，extra.ld 与 linker.ld 并不兼容。因此，我决定将 LDFLAGS 中的 -T extra.ld 去除，并将 extra.ld 的内容单独整合到 linker.ld 中，而没有采用 INSERT BEFORE 的方式。</t>
    </r>
  </si>
  <si>
    <r>
      <rPr/>
      <t>在NEMU上运行rt-thread</t>
    </r>
  </si>
  <si>
    <r>
      <rPr/>
      <t xml:space="preserve">在RT-Thread上运行AM程序
</t>
    </r>
    <r>
      <rPr/>
      <t xml:space="preserve">在NPC中运行RT-Thread
</t>
    </r>
    <r>
      <rPr/>
      <t>在PSRAM上执行RT-Thread</t>
    </r>
  </si>
  <si>
    <r>
      <rPr/>
      <t xml:space="preserve">运行AM程序 遇到了问题。
</t>
    </r>
    <r>
      <rPr/>
      <t>在NPC运行RT-Thread没问题。</t>
    </r>
  </si>
  <si>
    <r>
      <rPr/>
      <t>在完成“在 RT-Thread 上运行 AM 程序”时，我遇到了一个问题：AM 程序被 RT-Thread 加载到了非法的内存区域，但我无法理解其原因。同时，NPC 在引导 RT-Thread 时也耗时非常长。RT-Thread通过多级加载到NPC上运行要一个小时，非常慢。然后NPC的特权级和CTE实现的有一些问题。</t>
    </r>
  </si>
  <si>
    <r>
      <rPr/>
      <t xml:space="preserve">在蓝桥杯的代码与大英赛的词海中穿梭，
</t>
    </r>
    <r>
      <rPr/>
      <t xml:space="preserve">电赛培训的电路板闪着微微光波，
</t>
    </r>
    <r>
      <rPr/>
      <t xml:space="preserve">期中考试的书页悄然翻过，
</t>
    </r>
    <r>
      <rPr/>
      <t>而我，还在调试 ysyx 的寄存器与总线交错。</t>
    </r>
  </si>
  <si>
    <r>
      <rPr/>
      <t>搞定了</t>
    </r>
  </si>
  <si>
    <r>
      <rPr/>
      <t xml:space="preserve">在调试过程中发现，am_app_start_thread 函数收到的参数是错误的。进一步分析后定位到问题出在栈的初始化过程：由于 rt_hw_stack_init 函数在设置时混淆了栈顶和栈底的顺序，导致 kcontext 在创建上下文时错误地覆盖了原本通过栈传递的参数。
</t>
    </r>
    <r>
      <rPr/>
      <t xml:space="preserve">
换句话说，本应传入 am_app_start_thread 的参数在上下文初始化阶段被破坏，根源在于栈帧构造方向和参数布局不一致。这种错误在使用栈传参时尤其隐蔽，容易被忽略，但却会直接导致线程入口函数中的参数读取异常。
</t>
    </r>
    <r>
      <rPr/>
      <t xml:space="preserve">
在进入 main() 函数之前，TRM 的输出行为高度依赖于内存布局，因此此阶段不应使用 printf 进行输出。原因可能在于 printf 并未被包含在 SSBL（Secondary Stage Boot Loader）中，而程序计数器（PC）在进入 main() 前已位于 SSBL 区域。因此，此时只能使用 putch 进行输出。同时，需要注意的是，封装 putch 的输出函数必须被链接到 SSBL 的输入段（input section）中，确保其在该阶段可用。
</t>
    </r>
  </si>
  <si>
    <r>
      <rPr/>
      <t xml:space="preserve">调试千行眼欲穿，  
</t>
    </r>
    <r>
      <rPr/>
      <t xml:space="preserve">printf遍地埋线圈。  
</t>
    </r>
    <r>
      <rPr/>
      <t xml:space="preserve">AI问答如旧友，  
</t>
    </r>
    <r>
      <rPr/>
      <t>灵光一现破疑难。</t>
    </r>
  </si>
  <si>
    <r>
      <rPr/>
      <t xml:space="preserve">在RT-Thread上运行AM程序
</t>
    </r>
    <r>
      <rPr/>
      <t>添加学号CSR并输出学号</t>
    </r>
  </si>
  <si>
    <r>
      <rPr/>
      <t>在校准访存延迟之后，train规模的microbench跑了一个下午但是quicksort都没跑完。检查发现apb_delayer模块内部的状态机出现了故障。在提升功能测试的效率的部分，我在apb_delayer内部加入了开关宏去控制是否开始访存延迟。</t>
    </r>
  </si>
  <si>
    <r>
      <rPr/>
      <t>非常好</t>
    </r>
  </si>
  <si>
    <r>
      <rPr/>
      <t xml:space="preserve">统计IPC
</t>
    </r>
    <r>
      <rPr/>
      <t xml:space="preserve">添加性能计数器
</t>
    </r>
    <r>
      <rPr/>
      <t xml:space="preserve">添加性能计数器(2)
</t>
    </r>
    <r>
      <rPr/>
      <t xml:space="preserve">重新寻找优化瓶颈
</t>
    </r>
    <r>
      <rPr/>
      <t xml:space="preserve">提升功能测试的效率
</t>
    </r>
    <r>
      <rPr/>
      <t xml:space="preserve">根据性能计数器寻找合适的性能瓶颈
</t>
    </r>
    <r>
      <rPr/>
      <t>校准访存延迟</t>
    </r>
  </si>
  <si>
    <r>
      <rPr/>
      <t>RV32E 指令集实现中错误地实例化了 32 个通用寄存器（应为 16 个），导致芯片面积异常增加；删除冗余寄存器后，面积缩小到原来的 80%</t>
    </r>
  </si>
  <si>
    <r>
      <rPr/>
      <t xml:space="preserve">在本次 cache 参数探索过程中，我对多组配置进行了仿真与综合，并在 miss rate 和综合面积之间进行了权衡优化。起初采用的是 (80/1024, 5, 16) 的配置，虽然 miss rate 低至 15.16%，但由于其较高的组数造成 index 运算复杂，硬件代价大，不利于实现。随后我将 cache size 降为 64B，同时设为 2 路 set-associative，即 (64/1024, 2, 16)，miss rate 稍升至 17.14%，但综合面积显著下降，结构更为简洁，成为潜在的较优解。
</t>
    </r>
    <r>
      <rPr/>
      <t xml:space="preserve">
在进一步实验中，我尝试缩小 block size 至 4B（(64/1024, 2, 4)），但 miss rate 暴涨至 50.36%，性能严重劣化，因此放弃该方向。随后固定 block size 为 16B，尝试不同 associativity，例如 (64/1024, 4, 16)，虽然 miss rate 有一定改善（降至 18.59%），但带来了较高的面积开销，得不偿失。最后验证回 (64/1024, 2, 16)，发现其综合效果仍最优。
</t>
    </r>
    <r>
      <rPr/>
      <t xml:space="preserve">
如果加入一个无限容量、命中率100%、1周期访问延迟的dcache，最多最多提升大概 4.48% 的性能。
</t>
    </r>
    <r>
      <rPr/>
      <t xml:space="preserve">
此外，为了探索 cache size 的边际效益，我将容量提升至 96B，发现 miss rate 虽略降 4%，但面积显著上升，性价比低。因此，综合考虑访问性能与硬件资源占用，我最终选定 (64/1024, 2, 16) 这一组参数作为最终方案，在该配置下综合面积为 20139.658000，达到了较理想的设计平衡。</t>
    </r>
  </si>
  <si>
    <r>
      <rPr/>
      <t xml:space="preserve">寻找最高的综合频率
</t>
    </r>
    <r>
      <rPr/>
      <t xml:space="preserve">实现icache
</t>
    </r>
    <r>
      <rPr/>
      <t xml:space="preserve">适合缓存的地址空间
</t>
    </r>
    <r>
      <rPr/>
      <t>估算dcache的理想收益</t>
    </r>
  </si>
  <si>
    <r>
      <rPr/>
      <t xml:space="preserve">统计AMAT
</t>
    </r>
    <r>
      <rPr/>
      <t xml:space="preserve">实现cachesim
</t>
    </r>
    <r>
      <rPr/>
      <t xml:space="preserve">使用cachesim进行设计空间探索
</t>
    </r>
    <r>
      <rPr/>
      <t xml:space="preserve">支持更大的块大小
</t>
    </r>
    <r>
      <rPr/>
      <t>支持更大的块大小(2)</t>
    </r>
  </si>
  <si>
    <r>
      <rPr/>
      <t xml:space="preserve">在apb_delayer模块中：
</t>
    </r>
    <r>
      <rPr/>
      <t xml:space="preserve">问题​​：未检测PSEL/PENABLE直接返回IDLE，可能引发死循环。
</t>
    </r>
    <r>
      <rPr/>
      <t>​​修复​​：增加~in_psel &amp;&amp; ~in_penable条件判断。</t>
    </r>
  </si>
  <si>
    <r>
      <rPr/>
      <t xml:space="preserve">集成AXI接口的SDRAM控制器
</t>
    </r>
    <r>
      <rPr/>
      <t xml:space="preserve">让icache支持突发传输
</t>
    </r>
    <r>
      <rPr/>
      <t xml:space="preserve">实现AXI延迟模块
</t>
    </r>
    <r>
      <rPr/>
      <t>评估突发传输方式的性能表现</t>
    </r>
  </si>
  <si>
    <r>
      <rPr/>
      <t>实现简单的流水线处理器</t>
    </r>
  </si>
  <si>
    <r>
      <rPr/>
      <t>处理ebreak的指令是在ifu中，但是流水线的时候，ifu取出ebreak指令的时候，之前的指令还没执行完，这就会产生问题。具体来说，在遇到控制指令的时候，cpu会推测执行，如果jal后面跟了一条ebreak指令，那么在判断跳转地址前，就执行了ebreak。</t>
    </r>
  </si>
  <si>
    <r>
      <rPr/>
      <t xml:space="preserve">其实实现流水线就那些点。data hazard是：需要写寄存器的指令在EXU和LSU中写地址和IDU中的指令的读地址重了。这个时候需要转发，除了branch和store类型的指令，别的都可能产生hazard。特别注意load指令，这个不可避免地要stall，IDU需要stall直到LSU取出了数据。Control hazard就是需要在EXU中判断计算出来的跳转地址和推测的地址是否相同，如果不相同（branch taken）那么需要把IDU中的指令flush掉，同时让IFU重新取出正确的指令
</t>
    </r>
  </si>
  <si>
    <r>
      <rPr/>
      <t xml:space="preserve">评估简单流水线的性能
</t>
    </r>
    <r>
      <rPr/>
      <t xml:space="preserve">定位性能瓶颈
</t>
    </r>
    <r>
      <rPr/>
      <t xml:space="preserve">估算icache流水化带来的性能收益
</t>
    </r>
    <r>
      <rPr/>
      <t xml:space="preserve">估算转发技术的理想性能提升
</t>
    </r>
    <r>
      <rPr/>
      <t xml:space="preserve">实现icache的流水化
</t>
    </r>
    <r>
      <rPr/>
      <t xml:space="preserve">实现转发技术
</t>
    </r>
    <r>
      <rPr/>
      <t>教科书上的转发方案</t>
    </r>
  </si>
  <si>
    <r>
      <rPr/>
      <t xml:space="preserve">很多bug看看波形很快就解决了，而且实现icache流水线化遇到的问题和实现五级流水线遇到的问题是类似的。比如：插入bubble的逻辑有误，导致difftest的时候dut和ref比较的时机出现问题。Load-use hazard处理逻辑有误：
</t>
    </r>
    <r>
      <rPr/>
      <t xml:space="preserve">（1）LSU 中的 lsu_finish 信号不能盲目在 load 指令进入 sDone 阶段就拉高，否则可能在 load-use hazard 中过早标记完成。
</t>
    </r>
    <r>
      <rPr/>
      <t>（2）必须确保 EXU 发出的 load 指令已成功传递到 LSU 并与当前操作匹配，才能安全地发出 lsu_finish 信号。</t>
    </r>
  </si>
  <si>
    <r>
      <rPr/>
      <t>NPC大约运行microbench大约60%的周期都在等取指前端提供指令，所以性能瓶颈就是取指前端。IDU三个周期就可以处理一条指令，而fetch出一条指令需要8个周期。icache流水线化提高取指的吞吐理论上可以提高60%的性能。转发技术我在实习五级流水线的时候直接实现了。</t>
    </r>
  </si>
  <si>
    <r>
      <rPr/>
      <t>CacheSim和BranchSIm模拟的数据和仿真环境读取的数据差异很大，研究发现：NEMU执行自己的makefile产生的bin文件和NPC执行的自己的makefile生成的bin文件差异比较大，需要修改NEMU使得它可以执行NPC产生的bin文件。</t>
    </r>
  </si>
  <si>
    <r>
      <rPr/>
      <t xml:space="preserve">实现支持异常处理的流水线
</t>
    </r>
    <r>
      <rPr/>
      <t xml:space="preserve">通过cachesim评估dcache的预期性能表现
</t>
    </r>
    <r>
      <rPr/>
      <t>评估提升计算效率的理想收益</t>
    </r>
  </si>
  <si>
    <r>
      <rPr/>
      <t xml:space="preserve">复现缓存一致性问题
</t>
    </r>
    <r>
      <rPr/>
      <t xml:space="preserve">实现fence.i指令
</t>
    </r>
    <r>
      <rPr/>
      <t xml:space="preserve">设计反例
</t>
    </r>
    <r>
      <rPr/>
      <t>在流水线中正确实现fence.i</t>
    </r>
  </si>
  <si>
    <r>
      <rPr/>
      <t xml:space="preserve">wow~ ⊙o⊙
</t>
    </r>
    <r>
      <rPr/>
      <t>通过了C阶段考核！</t>
    </r>
  </si>
  <si>
    <r>
      <rPr/>
      <t xml:space="preserve">通过程序实现NVBoard上的流水灯效果
</t>
    </r>
    <r>
      <rPr/>
      <t xml:space="preserve">通过程序读入拨码开关的状态
</t>
    </r>
    <r>
      <rPr/>
      <t xml:space="preserve">通过程序在7段数码管上展示学号
</t>
    </r>
    <r>
      <rPr/>
      <t>将串口的TX引脚接入NVBoard</t>
    </r>
  </si>
  <si>
    <r>
      <rPr/>
      <t>考试，请假两个礼拜</t>
    </r>
  </si>
  <si>
    <r>
      <rPr/>
      <t>完成入学答辩要求的全部内容</t>
    </r>
  </si>
  <si>
    <r>
      <rPr/>
      <t>完成时间可标记为入学答辩时间</t>
    </r>
  </si>
  <si>
    <r>
      <rPr/>
      <t>理解YEMU如何执行程序</t>
    </r>
  </si>
  <si>
    <r>
      <rPr/>
      <t>小任务不太需要标记【进行中】</t>
    </r>
  </si>
  <si>
    <r>
      <rPr/>
      <t>通过批处理模式运行NEMU</t>
    </r>
  </si>
  <si>
    <r>
      <rPr/>
      <t>从命令行中读入NPC需要执行的程序</t>
    </r>
  </si>
  <si>
    <r>
      <rPr/>
      <t>一键编译并在NPC上运行AM程序</t>
    </r>
  </si>
  <si>
    <r>
      <rPr/>
      <t>如果你是初学者, 尝试自己画出架构图</t>
    </r>
  </si>
  <si>
    <r>
      <rPr/>
      <t>在NPC上运行dummy程序</t>
    </r>
  </si>
  <si>
    <r>
      <rPr/>
      <t>实现riscv32e-npc中的halt()函数</t>
    </r>
  </si>
  <si>
    <r>
      <rPr/>
      <t>为NPC实现HIT GOOD/BAD TRAP</t>
    </r>
  </si>
  <si>
    <r>
      <rPr/>
      <t>为NPC搭建sdb</t>
    </r>
  </si>
  <si>
    <r>
      <rPr/>
      <t>运行Hello World</t>
    </r>
  </si>
  <si>
    <r>
      <rPr/>
      <t>为NPC添加串口和时钟</t>
    </r>
  </si>
  <si>
    <r>
      <rPr/>
      <t>运行图形版本的超级玛丽</t>
    </r>
  </si>
  <si>
    <r>
      <rPr/>
      <t>实现异常响应机制</t>
    </r>
  </si>
  <si>
    <r>
      <rPr/>
      <t>实现上下文切换</t>
    </r>
  </si>
  <si>
    <r>
      <rPr/>
      <t>在NPC中运行RT-Thread</t>
    </r>
  </si>
  <si>
    <r>
      <rPr/>
      <t>修复RT-Thread运行时不输出最后的命令提示符的问题</t>
    </r>
  </si>
  <si>
    <r>
      <rPr/>
      <t>重构NPC</t>
    </r>
  </si>
  <si>
    <r>
      <rPr/>
      <t>让DiffTest适配多周期处理器</t>
    </r>
  </si>
  <si>
    <r>
      <rPr/>
      <t>避免握手的死锁和活锁</t>
    </r>
  </si>
  <si>
    <r>
      <rPr/>
      <t>将IFU和LSU的访存接口改造成AXI-Lite</t>
    </r>
  </si>
  <si>
    <r>
      <rPr/>
      <t>测试总线的实现</t>
    </r>
  </si>
  <si>
    <r>
      <rPr/>
      <t>实现AXI-Lite仲裁器</t>
    </r>
  </si>
  <si>
    <r>
      <rPr/>
      <t>评估NPC的主频和程序性能</t>
    </r>
  </si>
  <si>
    <r>
      <rPr/>
      <t>实现AXI-Lite接口的UART功能</t>
    </r>
  </si>
  <si>
    <r>
      <rPr/>
      <t>生成ysyxSoC的Verilog代码</t>
    </r>
  </si>
  <si>
    <r>
      <rPr/>
      <t>为ysyxSoC添加AM运行时环境</t>
    </r>
  </si>
  <si>
    <r>
      <rPr/>
      <t>无法运行的测试</t>
    </r>
  </si>
  <si>
    <r>
      <rPr/>
      <t>重新添加DiffTest</t>
    </r>
  </si>
  <si>
    <r>
      <rPr/>
      <t>通过mem-test测试内存访问</t>
    </r>
  </si>
  <si>
    <r>
      <rPr/>
      <t>通过bootloader将数据段加载到内存</t>
    </r>
  </si>
  <si>
    <r>
      <rPr/>
      <t>实现putch()</t>
    </r>
  </si>
  <si>
    <r>
      <rPr/>
      <t>观察NPC输出的行为</t>
    </r>
  </si>
  <si>
    <r>
      <rPr/>
      <t>正确实现串口的初始化</t>
    </r>
  </si>
  <si>
    <r>
      <rPr/>
      <t>输出前轮询串口的状态寄存器</t>
    </r>
  </si>
  <si>
    <r>
      <rPr/>
      <t>RTFSC理解从flash中读出数据的过程</t>
    </r>
  </si>
  <si>
    <r>
      <rPr/>
      <t>统计IPC</t>
    </r>
  </si>
  <si>
    <r>
      <rPr/>
      <t>重新寻找优化瓶颈</t>
    </r>
  </si>
  <si>
    <r>
      <rPr/>
      <t>评估NPC的性能</t>
    </r>
  </si>
  <si>
    <r>
      <rPr/>
      <t>提升功能测试的效率</t>
    </r>
  </si>
  <si>
    <r>
      <rPr/>
      <t>评估dcache的理想收益</t>
    </r>
  </si>
  <si>
    <r>
      <rPr/>
      <t>切换到32位ysyxSoC</t>
    </r>
  </si>
  <si>
    <r>
      <rPr/>
      <t>添加性能计数器</t>
    </r>
  </si>
  <si>
    <r>
      <rPr/>
      <t>添加性能计数器(2)</t>
    </r>
  </si>
  <si>
    <r>
      <rPr/>
      <t>根据性能计数器寻找合适的性能瓶颈</t>
    </r>
  </si>
  <si>
    <r>
      <rPr/>
      <t>校准访存延迟</t>
    </r>
  </si>
  <si>
    <r>
      <rPr/>
      <t>【示例】我开启了一个支线任务，内容是XXX。</t>
    </r>
  </si>
  <si>
    <r>
      <rPr/>
      <t>RTFSC理解指令执行的过程</t>
    </r>
  </si>
  <si>
    <r>
      <rPr/>
      <t>实现字符串处理函数</t>
    </r>
  </si>
  <si>
    <r>
      <rPr/>
      <t>为NPC添加trace支持</t>
    </r>
  </si>
  <si>
    <r>
      <rPr/>
      <t>为NPC添加DiffTest支持</t>
    </r>
  </si>
  <si>
    <r>
      <rPr/>
      <t>为NPC添加mtrace的支持</t>
    </r>
  </si>
  <si>
    <r>
      <rPr/>
      <t>观察ALU的综合结果</t>
    </r>
  </si>
  <si>
    <r>
      <rPr/>
      <t>在NPC中正确运行所有cpu-tests</t>
    </r>
  </si>
  <si>
    <r>
      <rPr/>
      <t>实现printf</t>
    </r>
  </si>
  <si>
    <r>
      <rPr/>
      <t>运行alu-tests</t>
    </r>
  </si>
  <si>
    <r>
      <rPr/>
      <t>实现IOE</t>
    </r>
  </si>
  <si>
    <r>
      <rPr/>
      <t>看看NEMU跑多快</t>
    </r>
  </si>
  <si>
    <r>
      <rPr/>
      <t>运行红白机模拟器(2)</t>
    </r>
  </si>
  <si>
    <r>
      <rPr/>
      <t>运行演示程序</t>
    </r>
  </si>
  <si>
    <r>
      <rPr/>
      <t>观看"Bad Apple!!" PV</t>
    </r>
  </si>
  <si>
    <r>
      <rPr/>
      <t>运行红白机模拟器</t>
    </r>
  </si>
  <si>
    <r>
      <rPr/>
      <t>实现dtrace</t>
    </r>
  </si>
  <si>
    <r>
      <rPr/>
      <t>实现IOE(2)</t>
    </r>
  </si>
  <si>
    <r>
      <rPr/>
      <t>实现IOE(3)(4)</t>
    </r>
  </si>
  <si>
    <r>
      <rPr/>
      <t>运行演示程序(2)</t>
    </r>
  </si>
  <si>
    <r>
      <rPr/>
      <t>运行红白机模拟器(3)</t>
    </r>
  </si>
  <si>
    <r>
      <rPr/>
      <t>实现声卡</t>
    </r>
  </si>
  <si>
    <r>
      <rPr/>
      <t>观看"Bad Apple!!" PV(2)</t>
    </r>
  </si>
  <si>
    <r>
      <rPr/>
      <t>建议必做</t>
    </r>
  </si>
  <si>
    <r>
      <rPr/>
      <t>让DiffTest支持异常响应机制</t>
    </r>
  </si>
  <si>
    <r>
      <rPr/>
      <t>重新组织Context结构体</t>
    </r>
  </si>
  <si>
    <r>
      <rPr/>
      <t>识别自陷事件</t>
    </r>
  </si>
  <si>
    <r>
      <rPr/>
      <t>恢复上下文</t>
    </r>
  </si>
  <si>
    <r>
      <rPr/>
      <t>实现etrace</t>
    </r>
  </si>
  <si>
    <r>
      <rPr/>
      <t>实现上下文切换(2)</t>
    </r>
  </si>
  <si>
    <r>
      <rPr/>
      <t>通过CTE实现RT-Thread的上下文创建和切换</t>
    </r>
  </si>
  <si>
    <r>
      <rPr/>
      <t>危险的全局变量(4)</t>
    </r>
  </si>
  <si>
    <r>
      <rPr/>
      <t>在RT-Thread上运行AM程序</t>
    </r>
  </si>
  <si>
    <r>
      <rPr/>
      <t>在NPC中实现addi指令</t>
    </r>
  </si>
  <si>
    <r>
      <rPr/>
      <t>尝试DPI-C机制</t>
    </r>
  </si>
  <si>
    <r>
      <rPr/>
      <t>通过DPI-C实现ebreak</t>
    </r>
  </si>
  <si>
    <r>
      <rPr/>
      <t>运行第一个客户程序</t>
    </r>
  </si>
  <si>
    <r>
      <rPr/>
      <t>实现更多的指令</t>
    </r>
  </si>
  <si>
    <r>
      <rPr/>
      <t>实现sprintf</t>
    </r>
  </si>
  <si>
    <r>
      <rPr/>
      <t>实现iringbuf</t>
    </r>
  </si>
  <si>
    <r>
      <rPr/>
      <t>实现mtrace</t>
    </r>
  </si>
  <si>
    <r>
      <rPr/>
      <t>实现ftrace</t>
    </r>
  </si>
  <si>
    <r>
      <rPr/>
      <t>编写更多的测试(1)(2)(3)</t>
    </r>
  </si>
  <si>
    <r>
      <rPr/>
      <t>实现DiffTest</t>
    </r>
  </si>
  <si>
    <r>
      <rPr/>
      <t>此题建议必做</t>
    </r>
  </si>
  <si>
    <r>
      <rPr/>
      <t>理解mainargs</t>
    </r>
  </si>
  <si>
    <r>
      <rPr/>
      <t>消除播放音频时的杂音</t>
    </r>
  </si>
  <si>
    <r>
      <rPr/>
      <t>运行红白机模拟器(4)</t>
    </r>
  </si>
  <si>
    <r>
      <rPr/>
      <t>展示你的计算机系统</t>
    </r>
  </si>
  <si>
    <r>
      <rPr/>
      <t>游戏是如何运行的</t>
    </r>
  </si>
  <si>
    <r>
      <rPr/>
      <t>优化LiteNES</t>
    </r>
  </si>
  <si>
    <r>
      <rPr/>
      <t>在NEMU上运行NEMU</t>
    </r>
  </si>
  <si>
    <r>
      <rPr/>
      <t>如果不打算做，可设置为【搁置选做】</t>
    </r>
  </si>
  <si>
    <r>
      <rPr/>
      <t>接入ysyxSoC</t>
    </r>
  </si>
  <si>
    <r>
      <rPr/>
      <t>测试MROM的访问</t>
    </r>
  </si>
  <si>
    <r>
      <rPr/>
      <t>在ysyxSoC中输出第一个字符</t>
    </r>
  </si>
  <si>
    <r>
      <rPr/>
      <t>去掉换行也能输出</t>
    </r>
  </si>
  <si>
    <r>
      <rPr/>
      <t>观察程序的局部性</t>
    </r>
  </si>
  <si>
    <r>
      <rPr/>
      <t>实现icache</t>
    </r>
  </si>
  <si>
    <r>
      <rPr/>
      <t>适合缓存的地址空间</t>
    </r>
  </si>
  <si>
    <r>
      <rPr/>
      <t>估算dcache的理想收益</t>
    </r>
  </si>
  <si>
    <r>
      <rPr/>
      <t>通过形式化验证测试icache的实现</t>
    </r>
  </si>
  <si>
    <r>
      <rPr/>
      <t>统计AMAT</t>
    </r>
  </si>
  <si>
    <r>
      <rPr/>
      <t>实现cachesim</t>
    </r>
  </si>
  <si>
    <r>
      <rPr/>
      <t>压缩trace</t>
    </r>
  </si>
  <si>
    <r>
      <rPr/>
      <t>使用cachesim进行设计空间探索</t>
    </r>
  </si>
  <si>
    <r>
      <rPr/>
      <t>支持更大的块大小</t>
    </r>
  </si>
  <si>
    <r>
      <rPr/>
      <t>从flash中读出数据</t>
    </r>
  </si>
  <si>
    <r>
      <rPr/>
      <t>实现基于SPI协议的位翻转模块</t>
    </r>
  </si>
  <si>
    <r>
      <rPr/>
      <t>通过SPI总线从flash中读出数据</t>
    </r>
  </si>
  <si>
    <r>
      <rPr/>
      <t>从flash中加载程序并执行</t>
    </r>
  </si>
  <si>
    <r>
      <rPr/>
      <t>通过XIP方式访问flash</t>
    </r>
  </si>
  <si>
    <r>
      <rPr/>
      <t>通过XIP方式执行flash中的程序</t>
    </r>
  </si>
  <si>
    <r>
      <rPr/>
      <t>用flash替代MROM</t>
    </r>
  </si>
  <si>
    <r>
      <rPr/>
      <t>添加学号CSR并输出学号</t>
    </r>
  </si>
  <si>
    <r>
      <rPr/>
      <t>通过中断等待SPI master传输完成</t>
    </r>
  </si>
  <si>
    <r>
      <rPr/>
      <t>实现PSRAM颗粒的仿真行为模型</t>
    </r>
  </si>
  <si>
    <r>
      <rPr/>
      <t>使用QPI协议访问PSRAM颗粒</t>
    </r>
  </si>
  <si>
    <r>
      <rPr/>
      <t>在ysyxSoC上运行microbench</t>
    </r>
  </si>
  <si>
    <r>
      <rPr/>
      <t>完整测试PSRAM的访问</t>
    </r>
  </si>
  <si>
    <r>
      <rPr/>
      <t>通过bootloader将程序加载到PSRAM中执行</t>
    </r>
  </si>
  <si>
    <r>
      <rPr/>
      <t>在PSRAM上执行RT-Thread</t>
    </r>
  </si>
  <si>
    <r>
      <rPr/>
      <t>实现bootloader的二级加载过程</t>
    </r>
  </si>
  <si>
    <r>
      <rPr/>
      <t>实现SDRAM颗粒的仿真行为模型</t>
    </r>
  </si>
  <si>
    <r>
      <rPr/>
      <t>完整测试SDRAM的访问</t>
    </r>
  </si>
  <si>
    <r>
      <rPr/>
      <t>将程序加载到SDRAM中执行</t>
    </r>
  </si>
  <si>
    <r>
      <rPr/>
      <t>将SDRAM控制器的数据位宽扩展到32位</t>
    </r>
  </si>
  <si>
    <r>
      <rPr/>
      <t>对SDRAM控制器进行字扩展</t>
    </r>
  </si>
  <si>
    <r>
      <rPr/>
      <t>通过程序实现NVBoard上的流水灯效果</t>
    </r>
  </si>
  <si>
    <r>
      <rPr/>
      <t>通过程序读入拨码开关的状态</t>
    </r>
  </si>
  <si>
    <r>
      <rPr/>
      <t>通过程序在7段数码管上展示学号</t>
    </r>
  </si>
  <si>
    <r>
      <rPr/>
      <t>将串口的TX引脚接入NVBoard</t>
    </r>
  </si>
  <si>
    <r>
      <rPr/>
      <t>通过NVBoard测试串口的输入功能</t>
    </r>
  </si>
  <si>
    <r>
      <rPr/>
      <t>通过串口在RT-Thread中键入命令</t>
    </r>
  </si>
  <si>
    <r>
      <rPr/>
      <t>让riscv32e-ysyxSoC从NVBoard读取键盘按键</t>
    </r>
  </si>
  <si>
    <r>
      <rPr/>
      <t>复习VGA的工作原理</t>
    </r>
  </si>
  <si>
    <r>
      <rPr/>
      <t>让riscv32e-ysyxSoC将像素信息输出到NVBoard</t>
    </r>
  </si>
  <si>
    <r>
      <rPr/>
      <t>通过NVBoard展示游戏</t>
    </r>
  </si>
  <si>
    <r>
      <rPr/>
      <t>通过RT-Thread运行其他AM程序</t>
    </r>
  </si>
  <si>
    <r>
      <rPr/>
      <t>通过ChipLink访问对端芯片的资源</t>
    </r>
  </si>
  <si>
    <r>
      <rPr/>
      <t>支持更大的块大小(2)</t>
    </r>
  </si>
  <si>
    <r>
      <rPr/>
      <t>集成AXI接口的SDRAM控制器</t>
    </r>
  </si>
  <si>
    <r>
      <rPr/>
      <t>让icache支持突发传输</t>
    </r>
  </si>
  <si>
    <r>
      <rPr/>
      <t>实现AXI延迟模块</t>
    </r>
  </si>
  <si>
    <r>
      <rPr/>
      <t>评估突发传输方式的性能表现</t>
    </r>
  </si>
  <si>
    <r>
      <rPr/>
      <t>快速评估缺失代价</t>
    </r>
  </si>
  <si>
    <r>
      <rPr/>
      <t>优化程序的内存布局</t>
    </r>
  </si>
  <si>
    <r>
      <rPr/>
      <t>icache的设计空间探索</t>
    </r>
  </si>
  <si>
    <r>
      <rPr/>
      <t>评估dcache的性价比</t>
    </r>
  </si>
  <si>
    <r>
      <rPr/>
      <t>复现缓存一致性问题</t>
    </r>
  </si>
  <si>
    <r>
      <rPr/>
      <t>实现fence.i指令</t>
    </r>
  </si>
  <si>
    <r>
      <rPr/>
      <t>去除锁存器</t>
    </r>
  </si>
  <si>
    <r>
      <rPr/>
      <t>通过cachesim评估dcache的预期性能表现</t>
    </r>
  </si>
  <si>
    <r>
      <rPr/>
      <t>评估提升计算效率的理想收益</t>
    </r>
  </si>
  <si>
    <r>
      <rPr/>
      <t>实现支持异常处理的流水线</t>
    </r>
  </si>
  <si>
    <r>
      <rPr/>
      <t>建设中</t>
    </r>
  </si>
  <si>
    <r>
      <rPr/>
      <t>评估简单流水线的性能</t>
    </r>
  </si>
  <si>
    <r>
      <rPr/>
      <t>定位性能瓶颈</t>
    </r>
  </si>
  <si>
    <r>
      <rPr/>
      <t>估算icache流水化带来的性能收益</t>
    </r>
  </si>
  <si>
    <r>
      <rPr/>
      <t>估算转发技术的理想性能提升</t>
    </r>
  </si>
  <si>
    <r>
      <rPr/>
      <t>实现icache的流水化</t>
    </r>
  </si>
  <si>
    <r>
      <rPr/>
      <t>实现转发技术</t>
    </r>
  </si>
  <si>
    <r>
      <rPr/>
      <t>教科书上的转发方案</t>
    </r>
  </si>
  <si>
    <r>
      <rPr/>
      <t>估算优化控制冒险相关阻塞带来的性能收益</t>
    </r>
  </si>
  <si>
    <r>
      <rPr/>
      <t>体会现代处理器中分支预测器的重要性</t>
    </r>
  </si>
  <si>
    <r>
      <rPr/>
      <t>实现branchsim</t>
    </r>
  </si>
  <si>
    <r>
      <rPr/>
      <t>实现分支预测器</t>
    </r>
  </si>
  <si>
    <r>
      <rPr/>
      <t>估算跳转指令推测执行正确的性能收益</t>
    </r>
  </si>
  <si>
    <r>
      <rPr/>
      <t>实现jal指令的跳转目标预测</t>
    </r>
  </si>
  <si>
    <r>
      <rPr/>
      <t>实现ret指令的跳转目标预测</t>
    </r>
  </si>
  <si>
    <r>
      <rPr/>
      <t>优化流水线</t>
    </r>
  </si>
  <si>
    <r>
      <rPr/>
      <t>设计反例</t>
    </r>
  </si>
  <si>
    <r>
      <rPr/>
      <t>在流水线中正确实现fence.i</t>
    </r>
  </si>
  <si>
    <r>
      <rPr/>
      <t>去除下降沿触发的时钟</t>
    </r>
  </si>
  <si>
    <r>
      <rPr/>
      <t>命名修改</t>
    </r>
  </si>
  <si>
    <r>
      <rPr/>
      <t>通过四值仿真检查X信号传播问题</t>
    </r>
  </si>
  <si>
    <r>
      <rPr/>
      <t>网表仿真</t>
    </r>
  </si>
  <si>
    <r>
      <rPr/>
      <t>再次检查你的代码</t>
    </r>
  </si>
  <si>
    <r>
      <rPr/>
      <t>考核申请步骤建设中</t>
    </r>
  </si>
  <si>
    <r>
      <rPr/>
      <t>实现RV32M乘除法器</t>
    </r>
  </si>
  <si>
    <r>
      <rPr/>
      <t>将RV32E改为RV32I</t>
    </r>
  </si>
  <si>
    <r>
      <rPr/>
      <t>使用更大的icache</t>
    </r>
  </si>
  <si>
    <r>
      <rPr/>
      <t>完成PA3.2</t>
    </r>
  </si>
  <si>
    <r>
      <rPr/>
      <t>完成PA3</t>
    </r>
  </si>
  <si>
    <r>
      <rPr/>
      <t>完成PA4.1</t>
    </r>
  </si>
  <si>
    <r>
      <rPr/>
      <t>在NPC上通过Nanos-lite运行Busybox</t>
    </r>
  </si>
  <si>
    <r>
      <rPr/>
      <t>完成PA4.2</t>
    </r>
  </si>
  <si>
    <r>
      <rPr/>
      <t>在NPC上运行支持虚存管理的Nanos-lite</t>
    </r>
  </si>
  <si>
    <r>
      <rPr/>
      <t>移植运行xv6</t>
    </r>
  </si>
  <si>
    <r>
      <rPr/>
      <t>启动最小Linux</t>
    </r>
  </si>
  <si>
    <r>
      <rPr/>
      <t>实现时钟中断</t>
    </r>
  </si>
  <si>
    <r>
      <rPr/>
      <t>在Linux上运行Busybox</t>
    </r>
  </si>
  <si>
    <r>
      <rPr/>
      <t>启动Debian</t>
    </r>
  </si>
  <si>
    <r>
      <rPr/>
      <t>寻找最高的综合频率</t>
    </r>
  </si>
  <si>
    <r>
      <rPr>
        <color rgb="FF175CEB"/>
        <u/>
      </rPr>
      <t>点击申请 C 阶段结业考核</t>
    </r>
  </si>
  <si>
    <r>
      <rPr>
        <color rgb="FF175CEB"/>
        <u/>
      </rPr>
      <t>建设中，请访问官网获取最新消息</t>
    </r>
  </si>
  <si>
    <r>
      <rPr>
        <color rgb="FF175CEB"/>
        <u/>
      </rPr>
      <t>建设中，请访问官网获取最新消息</t>
    </r>
  </si>
  <si>
    <r>
      <rPr/>
      <t>C 阶段结业考核</t>
    </r>
  </si>
  <si>
    <r>
      <rPr/>
      <t>B 阶段结业考核</t>
    </r>
  </si>
  <si>
    <r>
      <rPr/>
      <t>A 阶段结业考核</t>
    </r>
  </si>
  <si>
    <r>
      <rPr>
        <color rgb="FF175CEB"/>
        <u/>
      </rPr>
      <t>2024.05.03 更新日志（v2.04.2 LTS）</t>
    </r>
  </si>
  <si>
    <r>
      <rPr>
        <color rgb="FF175CEB"/>
        <u/>
      </rPr>
      <t>【正式发布】2024.05.02 更新日志（v2.04.1 LTS）</t>
    </r>
  </si>
  <si>
    <r>
      <rPr>
        <color rgb="FF175CEB"/>
        <u/>
      </rPr>
      <t>【重要更新】2024.05.01 更新日志（v2.00）</t>
    </r>
  </si>
  <si>
    <r>
      <rPr>
        <color rgb="FF175CEB"/>
        <u/>
      </rPr>
      <t>【重要更新】2024.04.29 更新日志（v1.00）</t>
    </r>
  </si>
  <si>
    <r>
      <rPr>
        <color rgb="FF175CEB"/>
        <u/>
      </rPr>
      <t>2024.04.28 更新日志（v0.03）</t>
    </r>
  </si>
  <si>
    <r>
      <rPr>
        <color rgb="FF175CEB"/>
        <u/>
      </rPr>
      <t>2024.04.27 更新日志（v0.02）</t>
    </r>
  </si>
  <si>
    <r>
      <rPr>
        <color rgb="FF175CEB"/>
        <u/>
      </rPr>
      <t>2024.04.26 更新日志（v0.01）</t>
    </r>
  </si>
  <si>
    <r>
      <rPr>
        <color rgb="FF175CEB"/>
        <u/>
      </rPr>
      <t>2024.04.23 项目启动（v0.00）</t>
    </r>
  </si>
  <si>
    <r>
      <rPr/>
      <t>v2.04.2 LTS</t>
    </r>
  </si>
  <si>
    <r>
      <rPr/>
      <t>✅ 修复了若干BUG，优化了若干内容</t>
    </r>
  </si>
  <si>
    <r>
      <rPr>
        <color rgb="FFDE3C36"/>
      </rPr>
      <t>🔥</t>
    </r>
    <r>
      <rPr>
        <b val="1"/>
        <color rgb="FFDE3C36"/>
      </rPr>
      <t xml:space="preserve"> 长期支持版本正式发布</t>
    </r>
  </si>
  <si>
    <r>
      <rPr/>
      <t>v2.04.1 LTS</t>
    </r>
  </si>
  <si>
    <r>
      <rPr/>
      <t>v2.00</t>
    </r>
  </si>
  <si>
    <r>
      <rPr/>
      <t>✅ 支持“一个主线任务可以添加多个支线任务”</t>
    </r>
  </si>
  <si>
    <r>
      <rPr/>
      <t>v1.00</t>
    </r>
  </si>
  <si>
    <r>
      <rPr/>
      <t>✅ 支持设置支线任务</t>
    </r>
  </si>
  <si>
    <r>
      <rPr/>
      <t>v0.03</t>
    </r>
  </si>
  <si>
    <r>
      <rPr/>
      <t>✅ 优化了若干内容</t>
    </r>
  </si>
  <si>
    <r>
      <rPr/>
      <t>v0.02</t>
    </r>
  </si>
  <si>
    <r>
      <rPr/>
      <t>😋</t>
    </r>
    <r>
      <rPr>
        <b val="1"/>
        <color rgb="FF9A38D7"/>
      </rPr>
      <t xml:space="preserve"> 开始内测</t>
    </r>
  </si>
  <si>
    <r>
      <rPr/>
      <t>v0.01</t>
    </r>
  </si>
  <si>
    <r>
      <rPr/>
      <t>v0.00</t>
    </r>
  </si>
  <si>
    <r>
      <rPr/>
      <t xml:space="preserve">😎 </t>
    </r>
    <r>
      <rPr>
        <b val="1"/>
        <color rgb="FF2972F4"/>
      </rPr>
      <t>项目正式启动</t>
    </r>
  </si>
  <si>
    <r>
      <rPr>
        <b val="1"/>
      </rPr>
      <t>v2.05.1 LTS</t>
    </r>
  </si>
  <si>
    <r>
      <rPr/>
      <t>🔥 增加了</t>
    </r>
    <r>
      <rPr>
        <b val="1"/>
        <color rgb="FFF88825"/>
      </rPr>
      <t>CBAS考核认证</t>
    </r>
    <r>
      <rPr/>
      <t>申请进度条</t>
    </r>
  </si>
  <si>
    <r>
      <rPr/>
      <t>v2.04.4 LTS</t>
    </r>
  </si>
  <si>
    <r>
      <rPr/>
      <t>✅ 与考核认证阶段划分同步，分为CBA阶段</t>
    </r>
  </si>
  <si>
    <r>
      <rPr/>
      <t>v2.04.3 LTS</t>
    </r>
  </si>
  <si>
    <r>
      <rPr/>
      <t>🚀 讲义任务更新，同步更新了任务列表</t>
    </r>
  </si>
</sst>
</file>

<file path=xl/styles.xml><?xml version="1.0" encoding="utf-8"?>
<styleSheet xmlns="http://schemas.openxmlformats.org/spreadsheetml/2006/main">
  <numFmts count="1">
    <numFmt numFmtId="300" formatCode="0.0_ "/>
  </numFmts>
  <fonts count="8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/>
    <font>
      <name val="-apple-system"/>
      <b val="1"/>
      <color rgb="FF800000"/>
      <sz val="12"/>
    </font>
    <font>
      <color rgb="FF000000"/>
    </font>
    <font>
      <color rgb="FF803C00"/>
    </font>
    <font>
      <b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>
    <xf numFmtId="0" fontId="0" fillId="0" borderId="0" xfId="0">
      <alignment vertical="center"/>
    </xf>
  </cellStyleXfs>
  <cellXfs count="1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14" fontId="0" fillId="0" borderId="0" xfId="0">
      <alignment vertical="center"/>
    </xf>
    <xf fontId="3" fillId="0" borderId="0" xfId="0">
      <alignment vertical="center"/>
    </xf>
    <xf fontId="4" fillId="0" borderId="0" xfId="0">
      <alignment vertical="center"/>
    </xf>
    <xf fontId="4" fillId="0" borderId="1" xfId="0">
      <alignment vertical="center"/>
    </xf>
    <xf numFmtId="0" fontId="4" fillId="0" borderId="1" xfId="0">
      <alignment vertical="center"/>
    </xf>
    <xf fontId="4" fillId="0" borderId="1" xfId="0">
      <alignment/>
    </xf>
    <xf numFmtId="0" fontId="0" fillId="0" borderId="0" xfId="0">
      <alignment vertical="center"/>
    </xf>
    <xf numFmtId="49" fontId="0" fillId="0" borderId="0" xfId="0">
      <alignment horizontal="left" vertical="top" wrapText="1"/>
    </xf>
    <xf fontId="0" fillId="0" borderId="0" xfId="0">
      <alignment horizontal="left" vertical="top" wrapText="1"/>
    </xf>
    <xf fontId="0" fillId="0" borderId="0" xfId="0">
      <alignment vertical="center" wrapText="1"/>
    </xf>
    <xf numFmtId="300" fontId="0" fillId="0" borderId="0" xfId="0">
      <alignment vertical="center"/>
    </xf>
    <xf numFmtId="9" fontId="0" fillId="0" borderId="0" xfId="0">
      <alignment vertical="center"/>
    </xf>
    <xf fontId="5" fillId="0" borderId="0" xfId="0">
      <alignment vertical="center"/>
    </xf>
    <xf fontId="6" fillId="0" borderId="0" xfId="0">
      <alignment vertical="center"/>
    </xf>
    <xf fontId="7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Relationship Id="rId6" Type="http://schemas.openxmlformats.org/officeDocument/2006/relationships/worksheet" Target="worksheets/sheet4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hyperlink" Target="https://docs.qq.com/doc/DWHFtWk1nRnVzQ3Zs" TargetMode="External"/><Relationship Id="rId2" Type="http://schemas.openxmlformats.org/officeDocument/2006/relationships/hyperlink" Target="https://nju-projectn.github.io/dlco-lecture-note/index.html" TargetMode="External"/><Relationship Id="rId0" Type="http://schemas.openxmlformats.org/officeDocument/2006/relationships/hyperlink" Target="https://missing-semester-cn.github.io/" TargetMode="External"/><Relationship Id="rId1" Type="http://schemas.openxmlformats.org/officeDocument/2006/relationships/hyperlink" Target="https://wizardforcel.gitbooks.io/lcthw/content/preface.html" TargetMode="Externa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hyperlink" Target="https://docs.qq.com/aio/DWlFrcWNwblN2aHBu" TargetMode="External"/><Relationship Id="rId0" Type="http://schemas.openxmlformats.org/officeDocument/2006/relationships/hyperlink" Target="https://&#36825;&#37324;&#21487;&#20197;&#26159;&#19968;&#20010;&#33150;&#35759;&#25991;&#26723;&#38142;&#25509;&#65292;&#25110;&#32773;&#20854;&#20182;&#20320;&#21916;&#27426;&#30340;&#38142;&#25509;&#65292;&#29992;&#20110;&#35814;&#32454;&#38416;&#36848;&#35813;&#20219;&#21153;&#12290;" TargetMode="External"/><Relationship Id="rId1" Type="http://schemas.openxmlformats.org/officeDocument/2006/relationships/hyperlink" Target="https://ysyx.oscc.cc/" TargetMode="Externa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hyperlink" Target="https://ysyx.oscc.cc/" TargetMode="External"/><Relationship Id="rId0" Type="http://schemas.openxmlformats.org/officeDocument/2006/relationships/hyperlink" Target="https://fa45epzd9c7.feishu.cn/docx/D72DdHB0Vor2Gvxs2Fkc5wzfnCd" TargetMode="External"/></Relationships>
</file>

<file path=xl/worksheets/_rels/sheet6.xml.rels><?xml version="1.0" encoding="UTF-8" standalone="yes"?><Relationships xmlns="http://schemas.openxmlformats.org/package/2006/relationships"><Relationship Id="rId7" Type="http://schemas.openxmlformats.org/officeDocument/2006/relationships/hyperlink" Target="https://docs.qq.com/aio/p/scgwsjhocmaw4vy?p=kHPkBk6SYW4Uw0g6l5wmM8z" TargetMode="External"/><Relationship Id="rId6" Type="http://schemas.openxmlformats.org/officeDocument/2006/relationships/hyperlink" Target="https://docs.qq.com/aio/p/scgwsjhocmaw4vy?p=y7PjotSBjx78f1p9XSfZULD" TargetMode="External"/><Relationship Id="rId1" Type="http://schemas.openxmlformats.org/officeDocument/2006/relationships/hyperlink" Target="https://docs.qq.com/aio/p/scgwsjhocmaw4vy?p=RCPseDPOHwjfiARUcPYuBqm" TargetMode="External"/><Relationship Id="rId0" Type="http://schemas.openxmlformats.org/officeDocument/2006/relationships/hyperlink" Target="https://docs.qq.com/aio/p/scgwsjhocmaw4vy?p=fXPOrrsUzmrB1bB1usXDQcZ" TargetMode="External"/><Relationship Id="rId4" Type="http://schemas.openxmlformats.org/officeDocument/2006/relationships/hyperlink" Target="https://docs.qq.com/aio/p/scgwsjhocmaw4vy?p=ZDP78bezka3WPS5vJmQEMBG" TargetMode="External"/><Relationship Id="rId2" Type="http://schemas.openxmlformats.org/officeDocument/2006/relationships/hyperlink" Target="https://docs.qq.com/aio/p/scgwsjhocmaw4vy?p=uNPBm2sgWk9HF0ZhcNJJo4o" TargetMode="External"/><Relationship Id="rId3" Type="http://schemas.openxmlformats.org/officeDocument/2006/relationships/hyperlink" Target="https://docs.qq.com/aio/p/scgwsjhocmaw4vy?p=ZJP4n2YTVFqhcvvyCCovV0R" TargetMode="External"/><Relationship Id="rId5" Type="http://schemas.openxmlformats.org/officeDocument/2006/relationships/hyperlink" Target="https://docs.qq.com/aio/p/scgwsjhocmaw4vy?p=kyPKkYAdJ5qJMs4h6237RSQ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 rgb="FFFFFFFF"/>
  </sheetPr>
  <dimension ref="C100"/>
  <sheetViews>
    <sheetView workbookViewId="0">
      <pane xSplit="1" topLeftCell="B1" state="frozen"/>
    </sheetView>
  </sheetViews>
  <cols>
    <col min="1" max="1" width="10" customWidth="0"/>
    <col min="2" max="2" width="16" customWidth="0"/>
    <col min="3" max="3" width="29" customWidth="0"/>
    <col min="4" max="4" width="7" customWidth="0"/>
    <col min="5" max="5" width="29" customWidth="0"/>
    <col min="6" max="6" width="33" customWidth="0"/>
    <col min="7" max="7" width="37" customWidth="0"/>
  </cols>
  <sheetData>
    <row r="1" spans="1:1" ht="39" customHeight="0">
      <c r="A1" t="s">
        <v>161</v>
      </c>
    </row>
    <row r="2" spans="1:7" ht="39" customHeight="0">
      <c r="A2" t="s">
        <v>168</v>
      </c>
      <c r="B2" t="s">
        <v>162</v>
      </c>
      <c r="C2" t="s">
        <v>163</v>
      </c>
      <c r="D2" t="s">
        <v>164</v>
      </c>
      <c r="E2" t="s">
        <v>165</v>
      </c>
      <c r="F2" t="s">
        <v>166</v>
      </c>
      <c r="G2" t="s">
        <v>167</v>
      </c>
    </row>
    <row r="3" spans="1:7" ht="39" customHeight="0">
      <c r="A3" t="s">
        <v>119</v>
      </c>
      <c r="C3" t="s">
        <v>410</v>
      </c>
      <c r="D3" s="16" t="s">
        <v>411</v>
      </c>
      <c r="E3" t="s">
        <v>407</v>
      </c>
      <c r="F3" s="16" t="s">
        <v>408</v>
      </c>
      <c r="G3" s="16" t="s">
        <v>409</v>
      </c>
    </row>
    <row r="4" spans="1:7" ht="39" customHeight="0">
      <c r="A4" t="s">
        <v>119</v>
      </c>
      <c r="C4" t="s">
        <v>414</v>
      </c>
      <c r="D4" s="16" t="s">
        <v>411</v>
      </c>
      <c r="E4" s="5" t="s">
        <v>412</v>
      </c>
      <c r="F4" s="16" t="s">
        <v>408</v>
      </c>
      <c r="G4" s="16" t="s">
        <v>413</v>
      </c>
    </row>
    <row r="5" spans="1:7" ht="39" customHeight="0">
      <c r="A5" t="s">
        <v>119</v>
      </c>
      <c r="C5" t="s">
        <v>416</v>
      </c>
      <c r="D5" s="16" t="s">
        <v>411</v>
      </c>
      <c r="F5" s="16" t="s">
        <v>408</v>
      </c>
      <c r="G5" s="16" t="s">
        <v>415</v>
      </c>
    </row>
    <row r="6" spans="1:7" ht="39" customHeight="0">
      <c r="A6" t="s">
        <v>119</v>
      </c>
      <c r="C6" t="s">
        <v>418</v>
      </c>
      <c r="D6" s="16" t="s">
        <v>411</v>
      </c>
      <c r="F6" s="16" t="s">
        <v>408</v>
      </c>
      <c r="G6" s="16" t="s">
        <v>417</v>
      </c>
    </row>
    <row r="7" spans="1:7" ht="39" customHeight="0">
      <c r="A7" t="s">
        <v>119</v>
      </c>
      <c r="C7" t="s">
        <v>419</v>
      </c>
      <c r="D7" s="16" t="s">
        <v>411</v>
      </c>
      <c r="F7" s="16" t="s">
        <v>408</v>
      </c>
      <c r="G7" s="16" t="s">
        <v>420</v>
      </c>
    </row>
    <row r="8" spans="1:7" ht="39" customHeight="0">
      <c r="A8" t="s">
        <v>119</v>
      </c>
      <c r="C8" t="s">
        <v>422</v>
      </c>
      <c r="D8" s="16" t="s">
        <v>411</v>
      </c>
      <c r="F8" s="16" t="s">
        <v>408</v>
      </c>
      <c r="G8" s="16" t="s">
        <v>421</v>
      </c>
    </row>
    <row r="9" spans="1:7" ht="39" customHeight="0">
      <c r="A9" t="s">
        <v>119</v>
      </c>
      <c r="C9" t="s">
        <v>423</v>
      </c>
      <c r="D9" s="16" t="s">
        <v>411</v>
      </c>
      <c r="F9" s="16" t="s">
        <v>408</v>
      </c>
      <c r="G9" s="16" t="s">
        <v>424</v>
      </c>
    </row>
    <row r="10" spans="1:7" ht="39" customHeight="0">
      <c r="A10" t="s">
        <v>119</v>
      </c>
      <c r="C10" t="s">
        <v>425</v>
      </c>
      <c r="D10" s="16" t="s">
        <v>411</v>
      </c>
      <c r="F10" s="16" t="s">
        <v>408</v>
      </c>
      <c r="G10" s="16" t="s">
        <v>426</v>
      </c>
    </row>
    <row r="11" spans="1:7" ht="39" customHeight="0">
      <c r="A11" t="s">
        <v>119</v>
      </c>
      <c r="C11" t="s">
        <v>427</v>
      </c>
      <c r="D11" s="16" t="s">
        <v>411</v>
      </c>
      <c r="F11" s="16" t="s">
        <v>408</v>
      </c>
      <c r="G11" s="16" t="s">
        <v>413</v>
      </c>
    </row>
    <row r="12" spans="1:1" ht="39" customHeight="0">
      <c r="A12" t="s">
        <v>119</v>
      </c>
    </row>
    <row r="13" spans="1:1" ht="39" customHeight="0">
      <c r="A13" t="s">
        <v>119</v>
      </c>
    </row>
    <row r="14" spans="1:1" ht="39" customHeight="0">
      <c r="A14" t="s">
        <v>119</v>
      </c>
    </row>
    <row r="15" spans="1:1" ht="39" customHeight="0">
      <c r="A15" t="s">
        <v>119</v>
      </c>
    </row>
    <row r="16" spans="1:1" ht="39" customHeight="0">
      <c r="A16" t="s">
        <v>119</v>
      </c>
    </row>
    <row r="17" spans="1:7" ht="39" customHeight="0">
      <c r="A17" t="s">
        <v>119</v>
      </c>
      <c r="C17" t="s">
        <v>429</v>
      </c>
      <c r="D17" s="16" t="s">
        <v>411</v>
      </c>
      <c r="F17" s="16" t="s">
        <v>408</v>
      </c>
      <c r="G17" s="16" t="s">
        <v>428</v>
      </c>
    </row>
    <row r="18" spans="1:7" ht="39" customHeight="0">
      <c r="A18" t="s">
        <v>119</v>
      </c>
      <c r="C18" t="s">
        <v>430</v>
      </c>
      <c r="D18" s="16" t="s">
        <v>411</v>
      </c>
      <c r="F18" s="16" t="s">
        <v>408</v>
      </c>
      <c r="G18" s="16" t="s">
        <v>413</v>
      </c>
    </row>
    <row r="19" spans="1:7" ht="39" customHeight="0">
      <c r="A19" t="s">
        <v>119</v>
      </c>
      <c r="C19" t="s">
        <v>431</v>
      </c>
      <c r="D19" s="16" t="s">
        <v>411</v>
      </c>
      <c r="F19" s="16" t="s">
        <v>408</v>
      </c>
      <c r="G19" s="16" t="s">
        <v>413</v>
      </c>
    </row>
    <row r="20" spans="1:7" ht="39" customHeight="0">
      <c r="A20" t="s">
        <v>119</v>
      </c>
      <c r="C20" t="s">
        <v>432</v>
      </c>
      <c r="D20" s="16" t="s">
        <v>411</v>
      </c>
      <c r="F20" s="16" t="s">
        <v>408</v>
      </c>
      <c r="G20" s="16" t="s">
        <v>413</v>
      </c>
    </row>
    <row r="21" spans="1:7" ht="39" customHeight="0">
      <c r="A21" t="s">
        <v>119</v>
      </c>
      <c r="C21" t="s">
        <v>433</v>
      </c>
      <c r="D21" s="16" t="s">
        <v>411</v>
      </c>
      <c r="F21" s="16" t="s">
        <v>408</v>
      </c>
      <c r="G21" s="16" t="s">
        <v>413</v>
      </c>
    </row>
    <row r="22" spans="1:7" ht="39" customHeight="0">
      <c r="A22" t="s">
        <v>119</v>
      </c>
      <c r="C22" t="s">
        <v>434</v>
      </c>
      <c r="D22" s="16" t="s">
        <v>411</v>
      </c>
      <c r="F22" s="16" t="s">
        <v>408</v>
      </c>
      <c r="G22" s="16" t="s">
        <v>413</v>
      </c>
    </row>
    <row r="23" spans="1:7" ht="39" customHeight="0">
      <c r="A23" t="s">
        <v>119</v>
      </c>
      <c r="C23" t="s">
        <v>435</v>
      </c>
      <c r="D23" s="16" t="s">
        <v>411</v>
      </c>
      <c r="F23" s="16" t="s">
        <v>408</v>
      </c>
      <c r="G23" s="16" t="s">
        <v>413</v>
      </c>
    </row>
    <row r="24" spans="1:7" ht="39" customHeight="0">
      <c r="A24" t="s">
        <v>119</v>
      </c>
      <c r="C24" t="s">
        <v>436</v>
      </c>
      <c r="D24" s="16" t="s">
        <v>411</v>
      </c>
      <c r="F24" s="16" t="s">
        <v>408</v>
      </c>
      <c r="G24" s="16" t="s">
        <v>413</v>
      </c>
    </row>
    <row r="25" spans="1:7" ht="39" customHeight="0">
      <c r="A25" t="s">
        <v>119</v>
      </c>
      <c r="C25" t="s">
        <v>437</v>
      </c>
      <c r="D25" s="16" t="s">
        <v>411</v>
      </c>
      <c r="F25" s="16" t="s">
        <v>408</v>
      </c>
      <c r="G25" s="16" t="s">
        <v>413</v>
      </c>
    </row>
    <row r="26" spans="1:7" ht="39" customHeight="0">
      <c r="A26" t="s">
        <v>119</v>
      </c>
      <c r="C26" t="s">
        <v>438</v>
      </c>
      <c r="D26" s="16" t="s">
        <v>411</v>
      </c>
      <c r="F26" s="16" t="s">
        <v>408</v>
      </c>
      <c r="G26" s="16" t="s">
        <v>413</v>
      </c>
    </row>
    <row r="27" spans="1:7" ht="39" customHeight="0">
      <c r="A27" t="s">
        <v>119</v>
      </c>
      <c r="C27" t="s">
        <v>439</v>
      </c>
      <c r="D27" s="16" t="s">
        <v>411</v>
      </c>
      <c r="F27" s="16" t="s">
        <v>408</v>
      </c>
      <c r="G27" s="16" t="s">
        <v>413</v>
      </c>
    </row>
    <row r="28" spans="1:7" ht="39" customHeight="0">
      <c r="A28" t="s">
        <v>119</v>
      </c>
      <c r="C28" t="s">
        <v>440</v>
      </c>
      <c r="D28" s="16" t="s">
        <v>411</v>
      </c>
      <c r="F28" s="16" t="s">
        <v>408</v>
      </c>
      <c r="G28" s="16" t="s">
        <v>413</v>
      </c>
    </row>
    <row r="29" spans="1:7" ht="39" customHeight="0">
      <c r="A29" t="s">
        <v>119</v>
      </c>
      <c r="C29" t="s">
        <v>441</v>
      </c>
      <c r="D29" s="16" t="s">
        <v>411</v>
      </c>
      <c r="F29" s="16" t="s">
        <v>408</v>
      </c>
      <c r="G29" s="16" t="s">
        <v>413</v>
      </c>
    </row>
    <row r="30" spans="1:7" ht="39" customHeight="0">
      <c r="A30" t="s">
        <v>119</v>
      </c>
      <c r="C30" t="s">
        <v>442</v>
      </c>
      <c r="D30" s="16" t="s">
        <v>411</v>
      </c>
      <c r="F30" s="16" t="s">
        <v>408</v>
      </c>
      <c r="G30" s="16" t="s">
        <v>413</v>
      </c>
    </row>
    <row r="31" spans="1:7" ht="39" customHeight="0">
      <c r="A31" t="s">
        <v>119</v>
      </c>
      <c r="C31" s="5" t="s">
        <v>443</v>
      </c>
      <c r="D31" s="16" t="s">
        <v>411</v>
      </c>
      <c r="F31" s="16" t="s">
        <v>408</v>
      </c>
      <c r="G31" s="16" t="s">
        <v>444</v>
      </c>
    </row>
    <row r="32" spans="1:7" ht="39" customHeight="0">
      <c r="A32" t="s">
        <v>119</v>
      </c>
      <c r="C32" s="5" t="s">
        <v>443</v>
      </c>
      <c r="D32" s="16" t="s">
        <v>411</v>
      </c>
      <c r="F32" s="16" t="s">
        <v>408</v>
      </c>
      <c r="G32" s="16" t="s">
        <v>413</v>
      </c>
    </row>
    <row r="33" spans="1:7" ht="39" customHeight="0">
      <c r="A33" t="s">
        <v>119</v>
      </c>
      <c r="C33" s="5" t="s">
        <v>443</v>
      </c>
      <c r="D33" s="16" t="s">
        <v>411</v>
      </c>
      <c r="F33" s="16" t="s">
        <v>445</v>
      </c>
      <c r="G33" s="16" t="s">
        <v>413</v>
      </c>
    </row>
    <row r="34" spans="1:7" ht="39" customHeight="0">
      <c r="A34" t="s">
        <v>119</v>
      </c>
      <c r="C34" s="5" t="s">
        <v>443</v>
      </c>
      <c r="D34" s="16" t="s">
        <v>411</v>
      </c>
      <c r="F34" s="16" t="s">
        <v>447</v>
      </c>
      <c r="G34" s="16" t="s">
        <v>446</v>
      </c>
    </row>
    <row r="35" spans="1:7" ht="39" customHeight="0">
      <c r="A35" t="s">
        <v>119</v>
      </c>
      <c r="C35" s="5" t="s">
        <v>443</v>
      </c>
      <c r="D35" s="16" t="s">
        <v>411</v>
      </c>
      <c r="F35" s="16" t="s">
        <v>408</v>
      </c>
      <c r="G35" s="16" t="s">
        <v>448</v>
      </c>
    </row>
    <row r="36" spans="1:7" ht="39" customHeight="0">
      <c r="A36" t="s">
        <v>119</v>
      </c>
      <c r="C36" s="5" t="s">
        <v>443</v>
      </c>
      <c r="D36" s="16" t="s">
        <v>411</v>
      </c>
      <c r="F36" s="16" t="s">
        <v>449</v>
      </c>
      <c r="G36" s="16" t="s">
        <v>450</v>
      </c>
    </row>
    <row r="37" spans="1:7" ht="39" customHeight="0">
      <c r="A37" t="s">
        <v>119</v>
      </c>
      <c r="C37" s="5" t="s">
        <v>443</v>
      </c>
      <c r="D37" s="16" t="s">
        <v>411</v>
      </c>
      <c r="F37" s="16" t="s">
        <v>408</v>
      </c>
      <c r="G37" s="16" t="s">
        <v>413</v>
      </c>
    </row>
    <row r="38" spans="1:7" ht="39" customHeight="0">
      <c r="A38" t="s">
        <v>119</v>
      </c>
      <c r="C38" s="5" t="s">
        <v>453</v>
      </c>
      <c r="D38" s="5" t="s">
        <v>451</v>
      </c>
      <c r="G38" t="s">
        <v>452</v>
      </c>
    </row>
    <row r="39" spans="1:7" ht="39" customHeight="0">
      <c r="A39" t="s">
        <v>119</v>
      </c>
      <c r="C39" s="5" t="s">
        <v>456</v>
      </c>
      <c r="D39" s="5" t="s">
        <v>457</v>
      </c>
      <c r="F39" s="5" t="s">
        <v>454</v>
      </c>
      <c r="G39" s="5" t="s">
        <v>455</v>
      </c>
    </row>
    <row r="40" spans="1:7" ht="39" customHeight="0">
      <c r="A40" t="s">
        <v>119</v>
      </c>
      <c r="B40" t="s">
        <v>169</v>
      </c>
      <c r="C40" s="17" t="s">
        <v>460</v>
      </c>
      <c r="D40" s="5" t="s">
        <v>461</v>
      </c>
      <c r="F40" s="5" t="s">
        <v>458</v>
      </c>
      <c r="G40" s="5" t="s">
        <v>459</v>
      </c>
    </row>
    <row r="41" spans="1:7" ht="39" customHeight="0">
      <c r="A41" t="s">
        <v>170</v>
      </c>
      <c r="B41" t="s">
        <v>171</v>
      </c>
      <c r="C41" s="5" t="s">
        <v>464</v>
      </c>
      <c r="D41" s="5" t="s">
        <v>465</v>
      </c>
      <c r="E41" s="5" t="s">
        <v>466</v>
      </c>
      <c r="F41" s="5" t="s">
        <v>462</v>
      </c>
      <c r="G41" s="5" t="s">
        <v>463</v>
      </c>
    </row>
    <row r="42" spans="1:3" ht="39" customHeight="0">
      <c r="A42" t="s">
        <v>173</v>
      </c>
      <c r="B42" t="s">
        <v>172</v>
      </c>
      <c r="C42" s="5" t="s">
        <v>467</v>
      </c>
    </row>
    <row r="43" spans="1:3" ht="39" customHeight="0">
      <c r="A43" t="s">
        <v>174</v>
      </c>
      <c r="B43" t="s">
        <v>175</v>
      </c>
      <c r="C43" s="5" t="s">
        <v>468</v>
      </c>
    </row>
    <row r="44" spans="1:3" ht="39" customHeight="0">
      <c r="A44" t="s">
        <v>177</v>
      </c>
      <c r="B44" t="s">
        <v>176</v>
      </c>
      <c r="C44" s="5" t="s">
        <v>469</v>
      </c>
    </row>
    <row r="45" spans="1:5" ht="39" customHeight="0">
      <c r="A45" t="s">
        <v>177</v>
      </c>
      <c r="B45" t="s">
        <v>178</v>
      </c>
      <c r="C45" s="5" t="s">
        <v>470</v>
      </c>
      <c r="D45" s="5" t="s">
        <v>471</v>
      </c>
      <c r="E45" s="5" t="s">
        <v>472</v>
      </c>
    </row>
    <row r="46" spans="1:7" ht="39" customHeight="0">
      <c r="A46" t="s">
        <v>177</v>
      </c>
      <c r="B46" t="s">
        <v>179</v>
      </c>
      <c r="C46" s="5" t="s">
        <v>474</v>
      </c>
      <c r="D46" s="5" t="s">
        <v>461</v>
      </c>
      <c r="E46" t="s">
        <v>475</v>
      </c>
      <c r="G46" s="5" t="s">
        <v>473</v>
      </c>
    </row>
    <row r="47" spans="1:7" ht="39" customHeight="0">
      <c r="A47" t="s">
        <v>177</v>
      </c>
      <c r="B47" t="s">
        <v>180</v>
      </c>
      <c r="C47" t="s">
        <v>480</v>
      </c>
      <c r="D47" s="5" t="s">
        <v>476</v>
      </c>
      <c r="E47" t="s">
        <v>477</v>
      </c>
      <c r="F47" s="5" t="s">
        <v>478</v>
      </c>
      <c r="G47" t="s">
        <v>479</v>
      </c>
    </row>
    <row r="48" spans="1:7" ht="39" customHeight="0">
      <c r="A48" t="s">
        <v>181</v>
      </c>
      <c r="B48" t="s">
        <v>182</v>
      </c>
      <c r="C48" t="s">
        <v>481</v>
      </c>
      <c r="D48" s="5" t="s">
        <v>482</v>
      </c>
      <c r="E48" t="s">
        <v>483</v>
      </c>
      <c r="F48" s="5" t="s">
        <v>484</v>
      </c>
      <c r="G48" s="5" t="s">
        <v>485</v>
      </c>
    </row>
    <row r="49" spans="1:7" ht="39" customHeight="0">
      <c r="A49" t="s">
        <v>181</v>
      </c>
      <c r="B49" t="s">
        <v>183</v>
      </c>
      <c r="C49" s="5" t="s">
        <v>489</v>
      </c>
      <c r="D49" s="5" t="s">
        <v>482</v>
      </c>
      <c r="E49" s="5" t="s">
        <v>486</v>
      </c>
      <c r="F49" s="5" t="s">
        <v>487</v>
      </c>
      <c r="G49" s="5" t="s">
        <v>488</v>
      </c>
    </row>
    <row r="50" spans="1:7" ht="39" customHeight="0">
      <c r="A50" t="s">
        <v>181</v>
      </c>
      <c r="B50" t="s">
        <v>184</v>
      </c>
      <c r="C50" s="5" t="s">
        <v>489</v>
      </c>
      <c r="D50" s="5" t="s">
        <v>491</v>
      </c>
      <c r="E50" s="5" t="s">
        <v>492</v>
      </c>
      <c r="F50" t="s">
        <v>493</v>
      </c>
      <c r="G50" s="5" t="s">
        <v>490</v>
      </c>
    </row>
    <row r="51" spans="1:7" ht="39" customHeight="0">
      <c r="A51" t="s">
        <v>185</v>
      </c>
      <c r="B51" t="s">
        <v>186</v>
      </c>
      <c r="C51" s="5" t="s">
        <v>497</v>
      </c>
      <c r="D51" s="5" t="s">
        <v>491</v>
      </c>
      <c r="E51" s="5" t="s">
        <v>494</v>
      </c>
      <c r="F51" t="s">
        <v>495</v>
      </c>
      <c r="G51" s="5" t="s">
        <v>496</v>
      </c>
    </row>
    <row r="52" spans="1:7" ht="39" customHeight="0">
      <c r="A52" t="s">
        <v>185</v>
      </c>
      <c r="B52" t="s">
        <v>186</v>
      </c>
      <c r="C52" s="5" t="s">
        <v>501</v>
      </c>
      <c r="D52" s="5" t="s">
        <v>476</v>
      </c>
      <c r="E52" t="s">
        <v>498</v>
      </c>
      <c r="F52" s="5" t="s">
        <v>499</v>
      </c>
      <c r="G52" s="5" t="s">
        <v>500</v>
      </c>
    </row>
    <row r="53" spans="1:7" ht="39" customHeight="0">
      <c r="A53" t="s">
        <v>185</v>
      </c>
      <c r="B53" t="s">
        <v>187</v>
      </c>
      <c r="C53" t="s">
        <v>504</v>
      </c>
      <c r="D53" s="5" t="s">
        <v>505</v>
      </c>
      <c r="E53" t="s">
        <v>506</v>
      </c>
      <c r="F53" t="s">
        <v>502</v>
      </c>
      <c r="G53" t="s">
        <v>503</v>
      </c>
    </row>
    <row r="54" spans="1:7" ht="39" customHeight="0">
      <c r="A54" t="s">
        <v>185</v>
      </c>
      <c r="B54" t="s">
        <v>188</v>
      </c>
      <c r="C54" s="5" t="s">
        <v>508</v>
      </c>
      <c r="D54" s="5" t="s">
        <v>509</v>
      </c>
      <c r="E54" t="s">
        <v>510</v>
      </c>
      <c r="F54" t="s">
        <v>511</v>
      </c>
      <c r="G54" s="5" t="s">
        <v>507</v>
      </c>
    </row>
    <row r="55" spans="1:7" ht="39" customHeight="0">
      <c r="A55" t="s">
        <v>190</v>
      </c>
      <c r="B55" t="s">
        <v>189</v>
      </c>
      <c r="C55" s="5" t="s">
        <v>512</v>
      </c>
      <c r="D55" s="5" t="s">
        <v>471</v>
      </c>
      <c r="E55" s="5" t="s">
        <v>513</v>
      </c>
      <c r="F55" s="5" t="s">
        <v>514</v>
      </c>
      <c r="G55" s="5" t="s">
        <v>515</v>
      </c>
    </row>
    <row r="56" spans="1:7" ht="39" customHeight="0">
      <c r="A56" t="s">
        <v>191</v>
      </c>
      <c r="B56" t="s">
        <v>192</v>
      </c>
      <c r="C56" t="s">
        <v>519</v>
      </c>
      <c r="D56" s="5" t="s">
        <v>482</v>
      </c>
      <c r="E56" s="5" t="s">
        <v>516</v>
      </c>
      <c r="F56" s="5" t="s">
        <v>517</v>
      </c>
      <c r="G56" s="5" t="s">
        <v>518</v>
      </c>
    </row>
    <row r="57" spans="1:6" ht="39" customHeight="0">
      <c r="A57" t="s">
        <v>191</v>
      </c>
      <c r="B57" t="s">
        <v>193</v>
      </c>
      <c r="C57" t="s">
        <v>520</v>
      </c>
      <c r="D57" s="5" t="s">
        <v>482</v>
      </c>
      <c r="E57" t="s">
        <v>521</v>
      </c>
      <c r="F57" s="5" t="s">
        <v>522</v>
      </c>
    </row>
    <row r="58" spans="1:7" ht="39" customHeight="0">
      <c r="A58" t="s">
        <v>194</v>
      </c>
      <c r="B58" t="s">
        <v>195</v>
      </c>
      <c r="C58" t="s">
        <v>525</v>
      </c>
      <c r="D58" s="5" t="s">
        <v>526</v>
      </c>
      <c r="E58" s="5" t="s">
        <v>527</v>
      </c>
      <c r="F58" t="s">
        <v>523</v>
      </c>
      <c r="G58" s="5" t="s">
        <v>524</v>
      </c>
    </row>
    <row r="59" spans="1:6" ht="39" customHeight="0">
      <c r="A59" t="s">
        <v>194</v>
      </c>
      <c r="B59" t="s">
        <v>196</v>
      </c>
      <c r="C59" s="5" t="s">
        <v>529</v>
      </c>
      <c r="D59" s="5" t="s">
        <v>471</v>
      </c>
      <c r="E59" s="5" t="s">
        <v>516</v>
      </c>
      <c r="F59" s="5" t="s">
        <v>528</v>
      </c>
    </row>
    <row r="60" spans="1:7" ht="39" customHeight="0">
      <c r="A60" t="s">
        <v>194</v>
      </c>
      <c r="B60" t="s">
        <v>197</v>
      </c>
      <c r="C60" s="5" t="s">
        <v>530</v>
      </c>
      <c r="D60" s="5" t="s">
        <v>476</v>
      </c>
      <c r="E60" s="5" t="s">
        <v>516</v>
      </c>
      <c r="F60" s="5" t="s">
        <v>531</v>
      </c>
      <c r="G60" s="5" t="s">
        <v>532</v>
      </c>
    </row>
    <row r="61" spans="1:7" ht="39" customHeight="0">
      <c r="A61" t="s">
        <v>198</v>
      </c>
      <c r="B61" t="s">
        <v>199</v>
      </c>
      <c r="C61" t="s">
        <v>533</v>
      </c>
      <c r="D61" s="5" t="s">
        <v>491</v>
      </c>
      <c r="E61" s="5" t="s">
        <v>516</v>
      </c>
      <c r="F61" s="5" t="s">
        <v>534</v>
      </c>
      <c r="G61" s="5" t="s">
        <v>535</v>
      </c>
    </row>
    <row r="62" spans="1:7" ht="39" customHeight="0">
      <c r="A62" t="s">
        <v>198</v>
      </c>
      <c r="B62" t="s">
        <v>200</v>
      </c>
      <c r="C62" s="5" t="s">
        <v>536</v>
      </c>
      <c r="D62" s="5" t="s">
        <v>461</v>
      </c>
      <c r="E62" s="5" t="s">
        <v>537</v>
      </c>
      <c r="G62" s="5" t="s">
        <v>538</v>
      </c>
    </row>
    <row r="63" spans="1:7" ht="39" customHeight="0">
      <c r="A63" t="s">
        <v>198</v>
      </c>
      <c r="B63" t="s">
        <v>201</v>
      </c>
      <c r="C63" s="5" t="s">
        <v>539</v>
      </c>
      <c r="D63" s="5" t="s">
        <v>482</v>
      </c>
      <c r="E63" s="5" t="s">
        <v>540</v>
      </c>
      <c r="F63" s="5" t="s">
        <v>541</v>
      </c>
      <c r="G63" s="5" t="s">
        <v>542</v>
      </c>
    </row>
    <row r="64" spans="1:7" ht="39" customHeight="0">
      <c r="A64" t="s">
        <v>198</v>
      </c>
      <c r="B64" t="s">
        <v>202</v>
      </c>
      <c r="C64" s="5" t="s">
        <v>543</v>
      </c>
      <c r="D64" s="5" t="s">
        <v>471</v>
      </c>
      <c r="E64" s="5" t="s">
        <v>472</v>
      </c>
      <c r="G64" t="s">
        <v>544</v>
      </c>
    </row>
    <row r="65" spans="1:7" ht="39" customHeight="0">
      <c r="A65" t="s">
        <v>203</v>
      </c>
      <c r="B65" t="s">
        <v>204</v>
      </c>
      <c r="C65" s="5" t="s">
        <v>546</v>
      </c>
      <c r="D65" s="5" t="s">
        <v>461</v>
      </c>
      <c r="E65" s="5" t="s">
        <v>472</v>
      </c>
      <c r="G65" s="5" t="s">
        <v>545</v>
      </c>
    </row>
    <row r="66" spans="1:7" ht="39" customHeight="0">
      <c r="A66" t="s">
        <v>203</v>
      </c>
      <c r="B66" t="s">
        <v>205</v>
      </c>
      <c r="C66" s="5" t="s">
        <v>547</v>
      </c>
      <c r="D66" s="5" t="s">
        <v>461</v>
      </c>
      <c r="E66" s="5" t="s">
        <v>472</v>
      </c>
      <c r="G66" s="5" t="s">
        <v>548</v>
      </c>
    </row>
    <row r="67" spans="1:7" ht="39" customHeight="0">
      <c r="A67" t="s">
        <v>203</v>
      </c>
      <c r="B67" t="s">
        <v>206</v>
      </c>
      <c r="C67" t="s">
        <v>551</v>
      </c>
      <c r="D67" s="5" t="s">
        <v>482</v>
      </c>
      <c r="E67" s="5" t="s">
        <v>472</v>
      </c>
      <c r="F67" t="s">
        <v>549</v>
      </c>
      <c r="G67" t="s">
        <v>550</v>
      </c>
    </row>
    <row r="68" spans="1:7" ht="39" customHeight="0">
      <c r="A68" t="s">
        <v>203</v>
      </c>
      <c r="B68" t="s">
        <v>207</v>
      </c>
      <c r="C68" t="s">
        <v>552</v>
      </c>
      <c r="D68" s="5" t="s">
        <v>457</v>
      </c>
      <c r="E68" s="5" t="s">
        <v>472</v>
      </c>
      <c r="G68" t="s">
        <v>553</v>
      </c>
    </row>
    <row r="69" spans="1:7" ht="39" customHeight="0">
      <c r="A69" t="s">
        <v>208</v>
      </c>
      <c r="B69" t="s">
        <v>209</v>
      </c>
      <c r="C69" s="5" t="s">
        <v>554</v>
      </c>
      <c r="D69" s="5" t="s">
        <v>555</v>
      </c>
      <c r="E69" s="5" t="s">
        <v>472</v>
      </c>
      <c r="F69" s="5" t="s">
        <v>528</v>
      </c>
      <c r="G69" s="5" t="s">
        <v>556</v>
      </c>
    </row>
    <row r="70" spans="1:7" ht="39" customHeight="0">
      <c r="A70" t="s">
        <v>208</v>
      </c>
      <c r="B70" t="s">
        <v>210</v>
      </c>
      <c r="C70" t="s">
        <v>558</v>
      </c>
      <c r="D70" s="5" t="s">
        <v>505</v>
      </c>
      <c r="E70" s="5" t="s">
        <v>472</v>
      </c>
      <c r="F70" s="5" t="s">
        <v>528</v>
      </c>
      <c r="G70" t="s">
        <v>557</v>
      </c>
    </row>
    <row r="71" spans="1:7" ht="39" customHeight="0">
      <c r="A71" t="s">
        <v>208</v>
      </c>
      <c r="B71" t="s">
        <v>211</v>
      </c>
      <c r="C71" t="s">
        <v>560</v>
      </c>
      <c r="D71" s="5" t="s">
        <v>505</v>
      </c>
      <c r="E71" s="5" t="s">
        <v>472</v>
      </c>
      <c r="G71" s="5" t="s">
        <v>559</v>
      </c>
    </row>
    <row r="72" spans="1:7" ht="39" customHeight="0">
      <c r="A72" t="s">
        <v>208</v>
      </c>
      <c r="B72" t="s">
        <v>212</v>
      </c>
      <c r="C72" t="s">
        <v>563</v>
      </c>
      <c r="D72" s="5" t="s">
        <v>505</v>
      </c>
      <c r="E72" s="5" t="s">
        <v>472</v>
      </c>
      <c r="F72" t="s">
        <v>561</v>
      </c>
      <c r="G72" s="5" t="s">
        <v>562</v>
      </c>
    </row>
    <row r="73" spans="1:6" ht="39" customHeight="0">
      <c r="A73" t="s">
        <v>208</v>
      </c>
      <c r="B73" t="s">
        <v>213</v>
      </c>
      <c r="C73" t="s">
        <v>565</v>
      </c>
      <c r="D73" s="5" t="s">
        <v>566</v>
      </c>
      <c r="E73" s="5" t="s">
        <v>472</v>
      </c>
      <c r="F73" t="s">
        <v>564</v>
      </c>
    </row>
    <row r="74" spans="1:7" ht="39" customHeight="0">
      <c r="A74" t="s">
        <v>214</v>
      </c>
      <c r="B74" t="s">
        <v>215</v>
      </c>
      <c r="C74" s="5" t="s">
        <v>567</v>
      </c>
      <c r="D74" s="5" t="s">
        <v>568</v>
      </c>
      <c r="E74" s="5" t="s">
        <v>472</v>
      </c>
      <c r="G74" s="5" t="s">
        <v>569</v>
      </c>
    </row>
    <row r="75" spans="1:7" ht="39" customHeight="0">
      <c r="A75" t="s">
        <v>214</v>
      </c>
      <c r="B75" t="s">
        <v>216</v>
      </c>
      <c r="C75" t="s">
        <v>572</v>
      </c>
      <c r="D75" s="5" t="s">
        <v>573</v>
      </c>
      <c r="E75" s="5" t="s">
        <v>472</v>
      </c>
      <c r="F75" s="5" t="s">
        <v>570</v>
      </c>
      <c r="G75" s="5" t="s">
        <v>571</v>
      </c>
    </row>
    <row r="76" spans="1:7" ht="39" customHeight="0">
      <c r="A76" t="s">
        <v>214</v>
      </c>
      <c r="B76" t="s">
        <v>217</v>
      </c>
      <c r="C76" t="s">
        <v>574</v>
      </c>
      <c r="D76" s="5" t="s">
        <v>505</v>
      </c>
      <c r="E76" s="5" t="s">
        <v>472</v>
      </c>
      <c r="F76" t="s">
        <v>575</v>
      </c>
      <c r="G76" s="5" t="s">
        <v>576</v>
      </c>
    </row>
    <row r="77" spans="1:5" ht="39" customHeight="0">
      <c r="A77" t="s">
        <v>218</v>
      </c>
      <c r="B77" t="s">
        <v>219</v>
      </c>
      <c r="C77" s="5" t="s">
        <v>577</v>
      </c>
      <c r="D77" s="5" t="s">
        <v>461</v>
      </c>
      <c r="E77" s="5" t="s">
        <v>578</v>
      </c>
    </row>
    <row r="78" spans="1:3" ht="39" customHeight="0">
      <c r="A78" t="s">
        <v>218</v>
      </c>
      <c r="B78" t="s">
        <v>220</v>
      </c>
      <c r="C78" t="s">
        <v>579</v>
      </c>
    </row>
    <row r="79" spans="1:3" ht="39" customHeight="0">
      <c r="A79" t="s">
        <v>218</v>
      </c>
      <c r="B79" t="s">
        <v>221</v>
      </c>
      <c r="C79" t="s">
        <v>580</v>
      </c>
    </row>
    <row r="80" spans="1:5" ht="39" customHeight="0">
      <c r="A80" t="s">
        <v>218</v>
      </c>
      <c r="B80" t="s">
        <v>222</v>
      </c>
      <c r="C80" t="s">
        <v>581</v>
      </c>
      <c r="D80" s="5" t="s">
        <v>573</v>
      </c>
      <c r="E80" s="5" t="s">
        <v>582</v>
      </c>
    </row>
    <row r="81" spans="1:7" ht="39" customHeight="0">
      <c r="A81" t="s">
        <v>223</v>
      </c>
      <c r="B81" t="s">
        <v>224</v>
      </c>
      <c r="C81" s="5" t="s">
        <v>583</v>
      </c>
      <c r="D81" s="5" t="s">
        <v>584</v>
      </c>
      <c r="E81" s="5" t="s">
        <v>585</v>
      </c>
      <c r="F81" s="5" t="s">
        <v>586</v>
      </c>
      <c r="G81" s="5" t="s">
        <v>587</v>
      </c>
    </row>
    <row r="82" spans="1:7" ht="39" customHeight="0">
      <c r="A82" t="s">
        <v>223</v>
      </c>
      <c r="B82" t="s">
        <v>225</v>
      </c>
      <c r="C82" t="s">
        <v>591</v>
      </c>
      <c r="D82" s="5" t="s">
        <v>482</v>
      </c>
      <c r="E82" s="5" t="s">
        <v>588</v>
      </c>
      <c r="F82" t="s">
        <v>589</v>
      </c>
      <c r="G82" s="5" t="s">
        <v>590</v>
      </c>
    </row>
    <row r="83" spans="1:7" ht="39" customHeight="0">
      <c r="A83" t="s">
        <v>226</v>
      </c>
      <c r="B83" t="s">
        <v>227</v>
      </c>
      <c r="C83" t="s">
        <v>593</v>
      </c>
      <c r="D83" s="5" t="s">
        <v>461</v>
      </c>
      <c r="E83" s="5" t="s">
        <v>472</v>
      </c>
      <c r="G83" s="5" t="s">
        <v>592</v>
      </c>
    </row>
    <row r="84" spans="1:5" ht="39" customHeight="0">
      <c r="A84" t="s">
        <v>226</v>
      </c>
      <c r="B84" t="s">
        <v>228</v>
      </c>
      <c r="C84" t="s">
        <v>594</v>
      </c>
      <c r="D84" s="5" t="s">
        <v>451</v>
      </c>
      <c r="E84" s="5" t="s">
        <v>472</v>
      </c>
    </row>
    <row r="85" spans="1:5" ht="39" customHeight="0">
      <c r="A85" t="s">
        <v>226</v>
      </c>
      <c r="B85" t="s">
        <v>229</v>
      </c>
      <c r="C85" t="s">
        <v>595</v>
      </c>
      <c r="D85" s="5" t="s">
        <v>482</v>
      </c>
      <c r="E85" s="5" t="s">
        <v>596</v>
      </c>
    </row>
    <row r="86" spans="1:6" ht="39" customHeight="0">
      <c r="A86" t="s">
        <v>230</v>
      </c>
      <c r="B86" t="s">
        <v>231</v>
      </c>
      <c r="C86" t="s">
        <v>598</v>
      </c>
      <c r="D86" s="5" t="s">
        <v>482</v>
      </c>
      <c r="E86" s="5" t="s">
        <v>472</v>
      </c>
      <c r="F86" t="s">
        <v>597</v>
      </c>
    </row>
    <row r="87" spans="1:6" ht="39" customHeight="0">
      <c r="A87" t="s">
        <v>230</v>
      </c>
      <c r="B87" t="s">
        <v>232</v>
      </c>
      <c r="C87" s="5" t="s">
        <v>600</v>
      </c>
      <c r="D87" s="5" t="s">
        <v>509</v>
      </c>
      <c r="E87" s="5" t="s">
        <v>472</v>
      </c>
      <c r="F87" s="5" t="s">
        <v>599</v>
      </c>
    </row>
    <row r="88" spans="1:7" ht="39" customHeight="0">
      <c r="A88" t="s">
        <v>230</v>
      </c>
      <c r="B88" t="s">
        <v>233</v>
      </c>
      <c r="C88" t="s">
        <v>601</v>
      </c>
      <c r="D88" s="5" t="s">
        <v>461</v>
      </c>
      <c r="E88" t="s">
        <v>602</v>
      </c>
      <c r="F88" s="5" t="s">
        <v>603</v>
      </c>
      <c r="G88" t="s">
        <v>604</v>
      </c>
    </row>
    <row r="89" spans="1:7" ht="39" customHeight="0">
      <c r="A89" t="s">
        <v>230</v>
      </c>
      <c r="B89" t="s">
        <v>234</v>
      </c>
      <c r="C89" t="s">
        <v>608</v>
      </c>
      <c r="D89" s="5" t="s">
        <v>482</v>
      </c>
      <c r="E89" s="5" t="s">
        <v>605</v>
      </c>
      <c r="F89" t="s">
        <v>606</v>
      </c>
      <c r="G89" t="s">
        <v>607</v>
      </c>
    </row>
    <row r="90" spans="1:7" ht="39" customHeight="0">
      <c r="A90" t="s">
        <v>230</v>
      </c>
      <c r="B90" t="s">
        <v>235</v>
      </c>
      <c r="C90" t="s">
        <v>611</v>
      </c>
      <c r="D90" s="5" t="s">
        <v>457</v>
      </c>
      <c r="E90" s="5" t="s">
        <v>605</v>
      </c>
      <c r="F90" s="5" t="s">
        <v>609</v>
      </c>
      <c r="G90" s="5" t="s">
        <v>610</v>
      </c>
    </row>
    <row r="91" spans="1:7" ht="39" customHeight="0">
      <c r="A91" t="s">
        <v>236</v>
      </c>
      <c r="B91" t="s">
        <v>237</v>
      </c>
      <c r="C91" t="s">
        <v>614</v>
      </c>
      <c r="D91" s="5" t="s">
        <v>573</v>
      </c>
      <c r="E91" s="5" t="s">
        <v>472</v>
      </c>
      <c r="F91" s="5" t="s">
        <v>612</v>
      </c>
      <c r="G91" t="s">
        <v>613</v>
      </c>
    </row>
    <row r="92" spans="1:6" ht="39" customHeight="0">
      <c r="A92" t="s">
        <v>239</v>
      </c>
      <c r="B92" t="s">
        <v>238</v>
      </c>
      <c r="C92" t="s">
        <v>615</v>
      </c>
      <c r="D92" s="5" t="s">
        <v>573</v>
      </c>
      <c r="E92" s="5" t="s">
        <v>472</v>
      </c>
      <c r="F92" t="s">
        <v>616</v>
      </c>
    </row>
    <row r="93" spans="1:4" ht="39" customHeight="0">
      <c r="A93" t="s">
        <v>239</v>
      </c>
      <c r="B93" t="s">
        <v>240</v>
      </c>
      <c r="C93" t="s">
        <v>617</v>
      </c>
      <c r="D93" s="5" t="s">
        <v>457</v>
      </c>
    </row>
    <row r="94" spans="1:7" ht="39" customHeight="0">
      <c r="A94" t="s">
        <v>241</v>
      </c>
      <c r="B94" t="s">
        <v>242</v>
      </c>
      <c r="C94" s="5" t="s">
        <v>618</v>
      </c>
      <c r="D94" s="5" t="s">
        <v>573</v>
      </c>
      <c r="E94" s="5" t="s">
        <v>472</v>
      </c>
      <c r="F94" s="5" t="s">
        <v>619</v>
      </c>
      <c r="G94" s="5" t="s">
        <v>620</v>
      </c>
    </row>
    <row r="95" spans="1:7" ht="39" customHeight="0">
      <c r="A95" t="s">
        <v>243</v>
      </c>
      <c r="B95" t="s">
        <v>244</v>
      </c>
      <c r="C95" t="s">
        <v>621</v>
      </c>
      <c r="D95" s="5" t="s">
        <v>457</v>
      </c>
      <c r="E95" s="5" t="s">
        <v>472</v>
      </c>
      <c r="F95" t="s">
        <v>622</v>
      </c>
      <c r="G95" s="5" t="s">
        <v>623</v>
      </c>
    </row>
    <row r="96" spans="1:6" ht="39" customHeight="0">
      <c r="A96" t="s">
        <v>243</v>
      </c>
      <c r="B96" t="s">
        <v>245</v>
      </c>
      <c r="C96" t="s">
        <v>625</v>
      </c>
      <c r="D96" s="5" t="s">
        <v>482</v>
      </c>
      <c r="E96" s="5" t="s">
        <v>472</v>
      </c>
      <c r="F96" s="5" t="s">
        <v>624</v>
      </c>
    </row>
    <row r="97" spans="2:3" ht="39" customHeight="0">
      <c r="B97" t="s">
        <v>246</v>
      </c>
      <c r="C97" t="s">
        <v>626</v>
      </c>
    </row>
    <row r="98" spans="1:5" ht="39" customHeight="0">
      <c r="A98" t="s">
        <v>247</v>
      </c>
      <c r="B98" t="s">
        <v>248</v>
      </c>
      <c r="E98" t="s">
        <v>627</v>
      </c>
    </row>
    <row r="99" spans="2:5" ht="39" customHeight="0">
      <c r="B99" t="s">
        <v>249</v>
      </c>
      <c r="E99" t="s">
        <v>628</v>
      </c>
    </row>
    <row r="100" spans="3:3" ht="39" customHeight="0">
      <c r="C100" s="5" t="s">
        <v>629</v>
      </c>
    </row>
  </sheetData>
  <hyperlinks>
    <hyperlink ref="C3" r:id="rId0"/>
    <hyperlink ref="C4" r:id="rId0"/>
    <hyperlink ref="C5" r:id="rId0"/>
    <hyperlink ref="C6" r:id="rId0"/>
    <hyperlink ref="C7" r:id="rId0"/>
    <hyperlink ref="C8" r:id="rId0"/>
    <hyperlink ref="C9" r:id="rId0"/>
    <hyperlink ref="C10" r:id="rId1"/>
    <hyperlink ref="C11" r:id="rId1"/>
    <hyperlink ref="C17" r:id="rId2"/>
    <hyperlink ref="C18" r:id="rId2"/>
    <hyperlink ref="C19" r:id="rId2"/>
    <hyperlink ref="C20" r:id="rId2"/>
    <hyperlink ref="C21" r:id="rId2"/>
    <hyperlink ref="C22" r:id="rId2"/>
    <hyperlink ref="C23" r:id="rId2"/>
    <hyperlink ref="C24" r:id="rId2"/>
    <hyperlink ref="C25" r:id="rId2"/>
    <hyperlink ref="C26" r:id="rId2"/>
    <hyperlink ref="C27" r:id="rId2"/>
    <hyperlink ref="C28" r:id="rId2"/>
    <hyperlink ref="C29" r:id="rId2"/>
    <hyperlink ref="C30" r:id="rId2"/>
    <hyperlink ref="G38" r:id="rId3"/>
  </hyperlinks>
</worksheet>
</file>

<file path=xl/worksheets/sheet2.xml><?xml version="1.0" encoding="utf-8"?>
<worksheet xmlns="http://schemas.openxmlformats.org/spreadsheetml/2006/main">
  <sheetPr>
    <tabColor rgb="FFFFFFFF"/>
  </sheetPr>
  <dimension ref="R207"/>
  <sheetViews>
    <sheetView workbookViewId="0">
      <pane xSplit="1" topLeftCell="B1" state="frozen"/>
    </sheetView>
  </sheetViews>
  <cols>
    <col min="1" max="1" width="30" hidden="1" customWidth="0"/>
    <col min="2" max="2" width="24" hidden="1" customWidth="0"/>
    <col min="3" max="3" width="46" customWidth="0"/>
    <col min="4" max="4" width="11" customWidth="0"/>
    <col min="5" max="5" width="19" customWidth="0"/>
    <col min="6" max="6" width="15" customWidth="0"/>
    <col min="7" max="7" width="17" hidden="1" customWidth="0"/>
    <col min="8" max="8" width="22" hidden="1" customWidth="0"/>
    <col min="9" max="9" width="12" customWidth="0"/>
    <col min="10" max="10" width="23" customWidth="0"/>
    <col min="11" max="11" width="15" customWidth="0"/>
    <col min="12" max="12" width="19" hidden="1" customWidth="0"/>
    <col min="13" max="13" width="16" hidden="1" customWidth="0"/>
    <col min="14" max="16" width="19" hidden="1" customWidth="0"/>
    <col min="17" max="17" width="25" hidden="1" customWidth="0"/>
    <col min="18" max="18" width="19" hidden="1" customWidth="0"/>
  </cols>
  <sheetData>
    <row r="1" spans="1:18" ht="39" customHeight="0">
      <c r="A1" t="s">
        <v>257</v>
      </c>
      <c r="B1" t="s">
        <v>10</v>
      </c>
      <c r="C1" t="s">
        <v>258</v>
      </c>
      <c r="D1" t="s">
        <v>259</v>
      </c>
      <c r="E1" t="s">
        <v>252</v>
      </c>
      <c r="F1" t="s">
        <v>3</v>
      </c>
      <c r="G1" t="s">
        <v>255</v>
      </c>
      <c r="H1" t="s">
        <v>253</v>
      </c>
      <c r="I1" t="s">
        <v>256</v>
      </c>
      <c r="J1" t="s">
        <v>254</v>
      </c>
      <c r="K1" t="s">
        <v>1</v>
      </c>
      <c r="L1" t="s">
        <v>7</v>
      </c>
      <c r="M1" t="s">
        <v>11</v>
      </c>
      <c r="N1" t="s">
        <v>12</v>
      </c>
      <c r="O1" t="s">
        <v>113</v>
      </c>
      <c r="P1" t="s">
        <v>250</v>
      </c>
      <c r="Q1" t="s">
        <v>251</v>
      </c>
      <c r="R1" t="s">
        <v>112</v>
      </c>
    </row>
    <row r="2" spans="1:18" ht="39" customHeight="0">
      <c r="A2" t="s">
        <v>119</v>
      </c>
      <c r="B2" t="s">
        <v>119</v>
      </c>
      <c r="C2" s="5" t="s">
        <v>630</v>
      </c>
      <c r="D2" t="s">
        <v>260</v>
      </c>
      <c r="E2" s="5" t="s">
        <v>631</v>
      </c>
      <c r="F2" t="s">
        <v>19</v>
      </c>
      <c r="H2" s="15">
        <f>=IF(F2="😍 已完成",1,IF(F2="💪🏻 进行中",G2,0))</f>
      </c>
      <c r="I2" t="s">
        <v>262</v>
      </c>
      <c r="K2" t="s">
        <v>261</v>
      </c>
      <c r="L2" t="s">
        <v>119</v>
      </c>
      <c r="M2" t="s">
        <v>15</v>
      </c>
      <c r="N2" s="4">
        <f>=IF(ISBLANK(K2),M2,K2)</f>
      </c>
      <c r="O2" t="s">
        <v>118</v>
      </c>
      <c r="P2" s="15">
        <f>=IF(AND(F2="🥺 搁置选做",D2="选做"),1,H2)</f>
      </c>
      <c r="R2" s="15">
        <f>=H2</f>
      </c>
    </row>
    <row r="3" spans="1:18" ht="39" customHeight="0">
      <c r="A3" t="s">
        <v>263</v>
      </c>
      <c r="B3" t="s">
        <v>263</v>
      </c>
      <c r="C3" s="5" t="s">
        <v>632</v>
      </c>
      <c r="D3" t="s">
        <v>260</v>
      </c>
      <c r="E3" s="5" t="s">
        <v>633</v>
      </c>
      <c r="F3" t="s">
        <v>19</v>
      </c>
      <c r="G3" s="15">
        <v>0.8</v>
      </c>
      <c r="H3" s="15">
        <f>=IF(F3="😍 已完成",1,IF(F3="💪🏻 进行中",G3,0))</f>
      </c>
      <c r="I3" t="s">
        <v>262</v>
      </c>
      <c r="L3" t="s">
        <v>264</v>
      </c>
      <c r="M3" t="s">
        <v>180</v>
      </c>
      <c r="N3" s="4">
        <f>=IF(ISBLANK(K3),M3,K3)</f>
      </c>
      <c r="O3" t="s">
        <v>118</v>
      </c>
      <c r="P3" s="15">
        <f>=IF(AND(F3="🥺 搁置选做",D3="选做"),1,H3)</f>
      </c>
      <c r="R3" s="15">
        <f>=H3</f>
      </c>
    </row>
    <row r="4" spans="1:18" ht="39" customHeight="0">
      <c r="A4" t="s">
        <v>265</v>
      </c>
      <c r="B4" t="s">
        <v>265</v>
      </c>
      <c r="C4" s="5" t="s">
        <v>634</v>
      </c>
      <c r="D4" t="s">
        <v>260</v>
      </c>
      <c r="E4" s="5" t="s">
        <v>528</v>
      </c>
      <c r="F4" t="s">
        <v>19</v>
      </c>
      <c r="H4" s="15">
        <f>=IF(F4="😍 已完成",1,IF(F4="💪🏻 进行中",G4,0))</f>
      </c>
      <c r="I4" t="s">
        <v>262</v>
      </c>
      <c r="L4" t="s">
        <v>266</v>
      </c>
      <c r="M4" t="s">
        <v>184</v>
      </c>
      <c r="N4" s="4">
        <f>=IF(ISBLANK(K4),M4,K4)</f>
      </c>
      <c r="O4" t="s">
        <v>118</v>
      </c>
      <c r="P4" s="15">
        <f>=IF(AND(F4="🥺 搁置选做",D4="选做"),1,H4)</f>
      </c>
      <c r="R4" s="15">
        <f>=H4</f>
      </c>
    </row>
    <row r="5" spans="1:18" ht="39" customHeight="0">
      <c r="A5" t="s">
        <v>267</v>
      </c>
      <c r="B5" t="s">
        <v>267</v>
      </c>
      <c r="C5" s="5" t="s">
        <v>635</v>
      </c>
      <c r="D5" t="s">
        <v>260</v>
      </c>
      <c r="E5" s="5" t="s">
        <v>528</v>
      </c>
      <c r="F5" t="s">
        <v>19</v>
      </c>
      <c r="H5" s="15">
        <f>=IF(F5="😍 已完成",1,IF(F5="💪🏻 进行中",G5,0))</f>
      </c>
      <c r="I5" t="s">
        <v>262</v>
      </c>
      <c r="L5" t="s">
        <v>268</v>
      </c>
      <c r="M5" t="s">
        <v>186</v>
      </c>
      <c r="N5" s="4">
        <f>=IF(ISBLANK(K5),M5,K5)</f>
      </c>
      <c r="O5" t="s">
        <v>118</v>
      </c>
      <c r="P5" s="15">
        <f>=IF(AND(F5="🥺 搁置选做",D5="选做"),1,H5)</f>
      </c>
      <c r="R5" s="15">
        <f>=H5</f>
      </c>
    </row>
    <row r="6" spans="1:18" ht="39" customHeight="0">
      <c r="A6" t="s">
        <v>267</v>
      </c>
      <c r="B6" t="s">
        <v>267</v>
      </c>
      <c r="C6" s="5" t="s">
        <v>636</v>
      </c>
      <c r="D6" t="s">
        <v>260</v>
      </c>
      <c r="E6" s="5" t="s">
        <v>528</v>
      </c>
      <c r="F6" t="s">
        <v>19</v>
      </c>
      <c r="H6" s="15">
        <f>=IF(F6="😍 已完成",1,IF(F6="💪🏻 进行中",G6,0))</f>
      </c>
      <c r="I6" t="s">
        <v>262</v>
      </c>
      <c r="L6" t="s">
        <v>268</v>
      </c>
      <c r="M6" t="s">
        <v>186</v>
      </c>
      <c r="N6" s="4">
        <f>=IF(ISBLANK(K6),M6,K6)</f>
      </c>
      <c r="O6" t="s">
        <v>118</v>
      </c>
      <c r="P6" s="15">
        <f>=IF(AND(F6="🥺 搁置选做",D6="选做"),1,H6)</f>
      </c>
      <c r="R6" s="15">
        <f>=H6</f>
      </c>
    </row>
    <row r="7" spans="1:18" ht="39" customHeight="0">
      <c r="A7" t="s">
        <v>267</v>
      </c>
      <c r="B7" t="s">
        <v>267</v>
      </c>
      <c r="C7" s="5" t="s">
        <v>637</v>
      </c>
      <c r="D7" t="s">
        <v>260</v>
      </c>
      <c r="E7" s="5" t="s">
        <v>528</v>
      </c>
      <c r="F7" t="s">
        <v>19</v>
      </c>
      <c r="H7" s="15">
        <f>=IF(F7="😍 已完成",1,IF(F7="💪🏻 进行中",G7,0))</f>
      </c>
      <c r="I7" t="s">
        <v>262</v>
      </c>
      <c r="L7" t="s">
        <v>268</v>
      </c>
      <c r="M7" t="s">
        <v>186</v>
      </c>
      <c r="N7" s="4">
        <f>=IF(ISBLANK(K7),M7,K7)</f>
      </c>
      <c r="O7" t="s">
        <v>118</v>
      </c>
      <c r="P7" s="15">
        <f>=IF(AND(F7="🥺 搁置选做",D7="选做"),1,H7)</f>
      </c>
      <c r="R7" s="15">
        <f>=H7</f>
      </c>
    </row>
    <row r="8" spans="1:18" ht="39" customHeight="0">
      <c r="A8" t="s">
        <v>267</v>
      </c>
      <c r="B8" t="s">
        <v>267</v>
      </c>
      <c r="C8" s="5" t="s">
        <v>638</v>
      </c>
      <c r="D8" t="s">
        <v>260</v>
      </c>
      <c r="E8" s="5" t="s">
        <v>528</v>
      </c>
      <c r="F8" t="s">
        <v>19</v>
      </c>
      <c r="H8" s="15">
        <f>=IF(F8="😍 已完成",1,IF(F8="💪🏻 进行中",G8,0))</f>
      </c>
      <c r="I8" t="s">
        <v>262</v>
      </c>
      <c r="L8" t="s">
        <v>268</v>
      </c>
      <c r="M8" t="s">
        <v>186</v>
      </c>
      <c r="N8" s="4">
        <f>=IF(ISBLANK(K8),M8,K8)</f>
      </c>
      <c r="O8" t="s">
        <v>118</v>
      </c>
      <c r="P8" s="15">
        <f>=IF(AND(F8="🥺 搁置选做",D8="选做"),1,H8)</f>
      </c>
      <c r="R8" s="15">
        <f>=H8</f>
      </c>
    </row>
    <row r="9" spans="1:18" ht="39" customHeight="0">
      <c r="A9" t="s">
        <v>267</v>
      </c>
      <c r="B9" t="s">
        <v>267</v>
      </c>
      <c r="C9" s="5" t="s">
        <v>639</v>
      </c>
      <c r="D9" t="s">
        <v>260</v>
      </c>
      <c r="E9" s="5" t="s">
        <v>528</v>
      </c>
      <c r="F9" t="s">
        <v>19</v>
      </c>
      <c r="H9" s="15">
        <f>=IF(F9="😍 已完成",1,IF(F9="💪🏻 进行中",G9,0))</f>
      </c>
      <c r="I9" t="s">
        <v>262</v>
      </c>
      <c r="L9" t="s">
        <v>268</v>
      </c>
      <c r="M9" t="s">
        <v>186</v>
      </c>
      <c r="N9" s="4">
        <f>=IF(ISBLANK(K9),M9,K9)</f>
      </c>
      <c r="O9" t="s">
        <v>118</v>
      </c>
      <c r="P9" s="15">
        <f>=IF(AND(F9="🥺 搁置选做",D9="选做"),1,H9)</f>
      </c>
      <c r="R9" s="15">
        <f>=H9</f>
      </c>
    </row>
    <row r="10" spans="1:18" ht="39" customHeight="0">
      <c r="A10" t="s">
        <v>267</v>
      </c>
      <c r="B10" t="s">
        <v>267</v>
      </c>
      <c r="C10" s="5" t="s">
        <v>640</v>
      </c>
      <c r="D10" t="s">
        <v>260</v>
      </c>
      <c r="E10" s="5" t="s">
        <v>528</v>
      </c>
      <c r="F10" t="s">
        <v>19</v>
      </c>
      <c r="H10" s="15">
        <f>=IF(F10="😍 已完成",1,IF(F10="💪🏻 进行中",G10,0))</f>
      </c>
      <c r="I10" t="s">
        <v>262</v>
      </c>
      <c r="L10" t="s">
        <v>268</v>
      </c>
      <c r="M10" t="s">
        <v>186</v>
      </c>
      <c r="N10" s="4">
        <f>=IF(ISBLANK(K10),M10,K10)</f>
      </c>
      <c r="O10" t="s">
        <v>118</v>
      </c>
      <c r="P10" s="15">
        <f>=IF(AND(F10="🥺 搁置选做",D10="选做"),1,H10)</f>
      </c>
      <c r="R10" s="15">
        <f>=H10</f>
      </c>
    </row>
    <row r="11" spans="1:18" ht="39" customHeight="0">
      <c r="A11" t="s">
        <v>267</v>
      </c>
      <c r="B11" t="s">
        <v>267</v>
      </c>
      <c r="C11" s="5" t="s">
        <v>641</v>
      </c>
      <c r="D11" t="s">
        <v>260</v>
      </c>
      <c r="E11" s="5" t="s">
        <v>528</v>
      </c>
      <c r="F11" t="s">
        <v>19</v>
      </c>
      <c r="H11" s="15">
        <f>=IF(F11="😍 已完成",1,IF(F11="💪🏻 进行中",G11,0))</f>
      </c>
      <c r="I11" t="s">
        <v>262</v>
      </c>
      <c r="L11" t="s">
        <v>269</v>
      </c>
      <c r="M11" t="s">
        <v>188</v>
      </c>
      <c r="N11" s="4">
        <f>=IF(ISBLANK(K11),M11,K11)</f>
      </c>
      <c r="O11" t="s">
        <v>118</v>
      </c>
      <c r="P11" s="15">
        <f>=IF(AND(F11="🥺 搁置选做",D11="选做"),1,H11)</f>
      </c>
      <c r="R11" s="15">
        <f>=H11</f>
      </c>
    </row>
    <row r="12" spans="1:18" ht="39" customHeight="0">
      <c r="A12" t="s">
        <v>270</v>
      </c>
      <c r="B12" t="s">
        <v>270</v>
      </c>
      <c r="C12" s="5" t="s">
        <v>642</v>
      </c>
      <c r="D12" t="s">
        <v>260</v>
      </c>
      <c r="E12" s="5" t="s">
        <v>528</v>
      </c>
      <c r="F12" t="s">
        <v>19</v>
      </c>
      <c r="H12" s="15">
        <f>=IF(F12="😍 已完成",1,IF(F12="💪🏻 进行中",G12,0))</f>
      </c>
      <c r="I12" t="s">
        <v>262</v>
      </c>
      <c r="L12" t="s">
        <v>271</v>
      </c>
      <c r="M12" t="s">
        <v>192</v>
      </c>
      <c r="N12" s="4">
        <f>=IF(ISBLANK(K12),M12,K12)</f>
      </c>
      <c r="O12" t="s">
        <v>118</v>
      </c>
      <c r="P12" s="15">
        <f>=IF(AND(F12="🥺 搁置选做",D12="选做"),1,H12)</f>
      </c>
      <c r="R12" s="15">
        <f>=H12</f>
      </c>
    </row>
    <row r="13" spans="1:18" ht="39" customHeight="0">
      <c r="A13" t="s">
        <v>270</v>
      </c>
      <c r="B13" t="s">
        <v>270</v>
      </c>
      <c r="C13" s="5" t="s">
        <v>643</v>
      </c>
      <c r="D13" t="s">
        <v>260</v>
      </c>
      <c r="E13" s="5" t="s">
        <v>528</v>
      </c>
      <c r="F13" t="s">
        <v>19</v>
      </c>
      <c r="H13" s="15">
        <f>=IF(F13="😍 已完成",1,IF(F13="💪🏻 进行中",G13,0))</f>
      </c>
      <c r="I13" t="s">
        <v>262</v>
      </c>
      <c r="L13" t="s">
        <v>272</v>
      </c>
      <c r="M13" t="s">
        <v>197</v>
      </c>
      <c r="N13" s="4">
        <f>=IF(ISBLANK(K13),M13,K13)</f>
      </c>
      <c r="O13" t="s">
        <v>118</v>
      </c>
      <c r="P13" s="15">
        <f>=IF(AND(F13="🥺 搁置选做",D13="选做"),1,H13)</f>
      </c>
      <c r="R13" s="15">
        <f>=H13</f>
      </c>
    </row>
    <row r="14" spans="1:18" ht="39" customHeight="0">
      <c r="A14" t="s">
        <v>270</v>
      </c>
      <c r="B14" t="s">
        <v>270</v>
      </c>
      <c r="C14" s="5" t="s">
        <v>644</v>
      </c>
      <c r="D14" t="s">
        <v>274</v>
      </c>
      <c r="E14" s="5" t="s">
        <v>528</v>
      </c>
      <c r="F14" t="s">
        <v>273</v>
      </c>
      <c r="H14" s="15">
        <f>=IF(F14="😍 已完成",1,IF(F14="💪🏻 进行中",G14,0))</f>
      </c>
      <c r="I14" t="s">
        <v>262</v>
      </c>
      <c r="L14" t="s">
        <v>272</v>
      </c>
      <c r="M14" t="s">
        <v>199</v>
      </c>
      <c r="N14" s="4">
        <f>=IF(ISBLANK(K14),M14,K14)</f>
      </c>
      <c r="O14" t="s">
        <v>118</v>
      </c>
      <c r="P14" s="15">
        <f>=IF(AND(F14="🥺 搁置选做",D14="选做"),1,H14)</f>
      </c>
      <c r="R14" s="15">
        <f>=H14</f>
      </c>
    </row>
    <row r="15" spans="1:18" ht="39" customHeight="0">
      <c r="A15" t="s">
        <v>275</v>
      </c>
      <c r="B15" t="s">
        <v>275</v>
      </c>
      <c r="C15" s="5" t="s">
        <v>645</v>
      </c>
      <c r="D15" t="s">
        <v>260</v>
      </c>
      <c r="E15" s="5" t="s">
        <v>528</v>
      </c>
      <c r="F15" t="s">
        <v>19</v>
      </c>
      <c r="H15" s="15">
        <f>=IF(F15="😍 已完成",1,IF(F15="💪🏻 进行中",G15,0))</f>
      </c>
      <c r="I15" t="s">
        <v>262</v>
      </c>
      <c r="L15" t="s">
        <v>276</v>
      </c>
      <c r="M15" t="s">
        <v>197</v>
      </c>
      <c r="N15" s="4">
        <f>=IF(ISBLANK(K15),M15,K15)</f>
      </c>
      <c r="O15" t="s">
        <v>118</v>
      </c>
      <c r="P15" s="15">
        <f>=IF(AND(F15="🥺 搁置选做",D15="选做"),1,H15)</f>
      </c>
      <c r="R15" s="15">
        <f>=H15</f>
      </c>
    </row>
    <row r="16" spans="1:18" ht="39" customHeight="0">
      <c r="A16" t="s">
        <v>275</v>
      </c>
      <c r="B16" t="s">
        <v>275</v>
      </c>
      <c r="C16" s="5" t="s">
        <v>646</v>
      </c>
      <c r="D16" t="s">
        <v>260</v>
      </c>
      <c r="E16" s="5" t="s">
        <v>528</v>
      </c>
      <c r="F16" t="s">
        <v>19</v>
      </c>
      <c r="H16" s="15">
        <f>=IF(F16="😍 已完成",1,IF(F16="💪🏻 进行中",G16,0))</f>
      </c>
      <c r="I16" t="s">
        <v>262</v>
      </c>
      <c r="L16" t="s">
        <v>277</v>
      </c>
      <c r="M16" t="s">
        <v>231</v>
      </c>
      <c r="N16" s="4">
        <f>=IF(ISBLANK(K16),M16,K16)</f>
      </c>
      <c r="O16" t="s">
        <v>118</v>
      </c>
      <c r="P16" s="15">
        <f>=IF(AND(F16="🥺 搁置选做",D16="选做"),1,H16)</f>
      </c>
      <c r="R16" s="15">
        <f>=H16</f>
      </c>
    </row>
    <row r="17" spans="1:18" ht="39" customHeight="0">
      <c r="A17" t="s">
        <v>275</v>
      </c>
      <c r="B17" t="s">
        <v>275</v>
      </c>
      <c r="C17" s="5" t="s">
        <v>647</v>
      </c>
      <c r="D17" t="s">
        <v>260</v>
      </c>
      <c r="E17" s="5" t="s">
        <v>528</v>
      </c>
      <c r="F17" t="s">
        <v>19</v>
      </c>
      <c r="H17" s="15">
        <f>=IF(F17="😍 已完成",1,IF(F17="💪🏻 进行中",G17,0))</f>
      </c>
      <c r="I17" t="s">
        <v>262</v>
      </c>
      <c r="L17" t="s">
        <v>278</v>
      </c>
      <c r="M17" t="s">
        <v>233</v>
      </c>
      <c r="N17" s="4">
        <f>=IF(ISBLANK(K17),M17,K17)</f>
      </c>
      <c r="O17" t="s">
        <v>118</v>
      </c>
      <c r="P17" s="15">
        <f>=IF(AND(F17="🥺 搁置选做",D17="选做"),1,H17)</f>
      </c>
      <c r="R17" s="15">
        <f>=H17</f>
      </c>
    </row>
    <row r="18" spans="1:18" ht="39" customHeight="0">
      <c r="A18" t="s">
        <v>275</v>
      </c>
      <c r="B18" t="s">
        <v>275</v>
      </c>
      <c r="C18" s="5" t="s">
        <v>648</v>
      </c>
      <c r="D18" t="s">
        <v>274</v>
      </c>
      <c r="E18" s="5" t="s">
        <v>528</v>
      </c>
      <c r="F18" t="s">
        <v>19</v>
      </c>
      <c r="H18" s="15">
        <f>=IF(F18="😍 已完成",1,IF(F18="💪🏻 进行中",G18,0))</f>
      </c>
      <c r="I18" t="s">
        <v>262</v>
      </c>
      <c r="L18" t="s">
        <v>278</v>
      </c>
      <c r="M18" t="s">
        <v>233</v>
      </c>
      <c r="N18" s="4">
        <f>=IF(ISBLANK(K18),M18,K18)</f>
      </c>
      <c r="O18" t="s">
        <v>118</v>
      </c>
      <c r="P18" s="15">
        <f>=IF(AND(F18="🥺 搁置选做",D18="选做"),1,H18)</f>
      </c>
      <c r="R18" s="15">
        <f>=H18</f>
      </c>
    </row>
    <row r="19" spans="1:18" ht="39" customHeight="0">
      <c r="A19" t="s">
        <v>279</v>
      </c>
      <c r="B19" t="s">
        <v>279</v>
      </c>
      <c r="C19" s="5" t="s">
        <v>649</v>
      </c>
      <c r="D19" t="s">
        <v>274</v>
      </c>
      <c r="E19" s="5" t="s">
        <v>528</v>
      </c>
      <c r="F19" t="s">
        <v>19</v>
      </c>
      <c r="H19" s="15">
        <f>=IF(F19="😍 已完成",1,IF(F19="💪🏻 进行中",G19,0))</f>
      </c>
      <c r="I19" t="s">
        <v>262</v>
      </c>
      <c r="L19" t="s">
        <v>280</v>
      </c>
      <c r="M19" t="s">
        <v>202</v>
      </c>
      <c r="N19" s="4">
        <f>=IF(ISBLANK(K19),M19,K19)</f>
      </c>
      <c r="O19" t="s">
        <v>118</v>
      </c>
      <c r="P19" s="15">
        <f>=IF(AND(F19="🥺 搁置选做",D19="选做"),1,H19)</f>
      </c>
      <c r="R19" s="15">
        <f>=H19</f>
      </c>
    </row>
    <row r="20" spans="1:18" ht="39" customHeight="0">
      <c r="A20" t="s">
        <v>279</v>
      </c>
      <c r="B20" t="s">
        <v>279</v>
      </c>
      <c r="C20" s="5" t="s">
        <v>543</v>
      </c>
      <c r="D20" t="s">
        <v>260</v>
      </c>
      <c r="E20" s="5" t="s">
        <v>528</v>
      </c>
      <c r="F20" t="s">
        <v>19</v>
      </c>
      <c r="H20" s="15">
        <f>=IF(F20="😍 已完成",1,IF(F20="💪🏻 进行中",G20,0))</f>
      </c>
      <c r="I20" t="s">
        <v>262</v>
      </c>
      <c r="L20" t="s">
        <v>281</v>
      </c>
      <c r="M20" t="s">
        <v>202</v>
      </c>
      <c r="N20" s="4">
        <f>=IF(ISBLANK(K20),M20,K20)</f>
      </c>
      <c r="O20" t="s">
        <v>118</v>
      </c>
      <c r="P20" s="15">
        <f>=IF(AND(F20="🥺 搁置选做",D20="选做"),1,H20)</f>
      </c>
      <c r="R20" s="15">
        <f>=H20</f>
      </c>
    </row>
    <row r="21" spans="1:18" ht="39" customHeight="0">
      <c r="A21" t="s">
        <v>279</v>
      </c>
      <c r="B21" t="s">
        <v>279</v>
      </c>
      <c r="C21" s="5" t="s">
        <v>546</v>
      </c>
      <c r="D21" t="s">
        <v>260</v>
      </c>
      <c r="E21" s="5" t="s">
        <v>528</v>
      </c>
      <c r="F21" t="s">
        <v>19</v>
      </c>
      <c r="H21" s="15">
        <f>=IF(F21="😍 已完成",1,IF(F21="💪🏻 进行中",G21,0))</f>
      </c>
      <c r="I21" t="s">
        <v>262</v>
      </c>
      <c r="L21" t="s">
        <v>281</v>
      </c>
      <c r="M21" t="s">
        <v>204</v>
      </c>
      <c r="N21" s="4">
        <f>=IF(ISBLANK(K21),M21,K21)</f>
      </c>
      <c r="O21" t="s">
        <v>118</v>
      </c>
      <c r="P21" s="15">
        <f>=IF(AND(F21="🥺 搁置选做",D21="选做"),1,H21)</f>
      </c>
      <c r="R21" s="15">
        <f>=H21</f>
      </c>
    </row>
    <row r="22" spans="1:18" ht="39" customHeight="0">
      <c r="A22" t="s">
        <v>279</v>
      </c>
      <c r="B22" t="s">
        <v>279</v>
      </c>
      <c r="C22" s="5" t="s">
        <v>650</v>
      </c>
      <c r="D22" t="s">
        <v>274</v>
      </c>
      <c r="E22" s="5" t="s">
        <v>528</v>
      </c>
      <c r="F22" t="s">
        <v>19</v>
      </c>
      <c r="H22" s="15">
        <f>=IF(F22="😍 已完成",1,IF(F22="💪🏻 进行中",G22,0))</f>
      </c>
      <c r="I22" t="s">
        <v>262</v>
      </c>
      <c r="L22" t="s">
        <v>281</v>
      </c>
      <c r="M22" t="s">
        <v>202</v>
      </c>
      <c r="N22" s="4">
        <f>=IF(ISBLANK(K22),M22,K22)</f>
      </c>
      <c r="O22" t="s">
        <v>118</v>
      </c>
      <c r="P22" s="15">
        <f>=IF(AND(F22="🥺 搁置选做",D22="选做"),1,H22)</f>
      </c>
      <c r="R22" s="15">
        <f>=H22</f>
      </c>
    </row>
    <row r="23" spans="1:18" ht="39" customHeight="0">
      <c r="A23" t="s">
        <v>279</v>
      </c>
      <c r="B23" t="s">
        <v>279</v>
      </c>
      <c r="C23" s="5" t="s">
        <v>547</v>
      </c>
      <c r="D23" t="s">
        <v>260</v>
      </c>
      <c r="E23" s="5" t="s">
        <v>528</v>
      </c>
      <c r="F23" t="s">
        <v>19</v>
      </c>
      <c r="H23" s="15">
        <f>=IF(F23="😍 已完成",1,IF(F23="💪🏻 进行中",G23,0))</f>
      </c>
      <c r="I23" t="s">
        <v>262</v>
      </c>
      <c r="L23" t="s">
        <v>281</v>
      </c>
      <c r="M23" t="s">
        <v>205</v>
      </c>
      <c r="N23" s="4">
        <f>=IF(ISBLANK(K23),M23,K23)</f>
      </c>
      <c r="O23" t="s">
        <v>118</v>
      </c>
      <c r="P23" s="15">
        <f>=IF(AND(F23="🥺 搁置选做",D23="选做"),1,H23)</f>
      </c>
      <c r="R23" s="15">
        <f>=H23</f>
      </c>
    </row>
    <row r="24" spans="1:18" ht="39" customHeight="0">
      <c r="A24" t="s">
        <v>279</v>
      </c>
      <c r="B24" t="s">
        <v>279</v>
      </c>
      <c r="C24" s="5" t="s">
        <v>651</v>
      </c>
      <c r="D24" t="s">
        <v>260</v>
      </c>
      <c r="E24" s="5" t="s">
        <v>528</v>
      </c>
      <c r="F24" t="s">
        <v>19</v>
      </c>
      <c r="H24" s="15">
        <f>=IF(F24="😍 已完成",1,IF(F24="💪🏻 进行中",G24,0))</f>
      </c>
      <c r="I24" t="s">
        <v>262</v>
      </c>
      <c r="L24" t="s">
        <v>282</v>
      </c>
      <c r="M24" t="s">
        <v>206</v>
      </c>
      <c r="N24" s="4">
        <f>=IF(ISBLANK(K24),M24,K24)</f>
      </c>
      <c r="O24" t="s">
        <v>118</v>
      </c>
      <c r="P24" s="15">
        <f>=IF(AND(F24="🥺 搁置选做",D24="选做"),1,H24)</f>
      </c>
      <c r="R24" s="15">
        <f>=H24</f>
      </c>
    </row>
    <row r="25" spans="1:18" ht="39" customHeight="0">
      <c r="A25" t="s">
        <v>279</v>
      </c>
      <c r="B25" t="s">
        <v>279</v>
      </c>
      <c r="C25" s="5" t="s">
        <v>652</v>
      </c>
      <c r="D25" t="s">
        <v>260</v>
      </c>
      <c r="E25" s="5" t="s">
        <v>528</v>
      </c>
      <c r="F25" t="s">
        <v>19</v>
      </c>
      <c r="H25" s="15">
        <f>=IF(F25="😍 已完成",1,IF(F25="💪🏻 进行中",G25,0))</f>
      </c>
      <c r="I25" t="s">
        <v>262</v>
      </c>
      <c r="L25" t="s">
        <v>282</v>
      </c>
      <c r="M25" t="s">
        <v>206</v>
      </c>
      <c r="N25" s="4">
        <f>=IF(ISBLANK(K25),M25,K25)</f>
      </c>
      <c r="O25" t="s">
        <v>118</v>
      </c>
      <c r="P25" s="15">
        <f>=IF(AND(F25="🥺 搁置选做",D25="选做"),1,H25)</f>
      </c>
      <c r="R25" s="15">
        <f>=H25</f>
      </c>
    </row>
    <row r="26" spans="1:18" ht="39" customHeight="0">
      <c r="A26" t="s">
        <v>279</v>
      </c>
      <c r="B26" t="s">
        <v>279</v>
      </c>
      <c r="C26" s="5" t="s">
        <v>653</v>
      </c>
      <c r="D26" t="s">
        <v>260</v>
      </c>
      <c r="E26" s="5" t="s">
        <v>528</v>
      </c>
      <c r="F26" t="s">
        <v>19</v>
      </c>
      <c r="H26" s="15">
        <f>=IF(F26="😍 已完成",1,IF(F26="💪🏻 进行中",G26,0))</f>
      </c>
      <c r="I26" t="s">
        <v>262</v>
      </c>
      <c r="L26" t="s">
        <v>282</v>
      </c>
      <c r="M26" t="s">
        <v>207</v>
      </c>
      <c r="N26" s="4">
        <f>=IF(ISBLANK(K26),M26,K26)</f>
      </c>
      <c r="O26" t="s">
        <v>118</v>
      </c>
      <c r="P26" s="15">
        <f>=IF(AND(F26="🥺 搁置选做",D26="选做"),1,H26)</f>
      </c>
      <c r="R26" s="15">
        <f>=H26</f>
      </c>
    </row>
    <row r="27" spans="1:18" ht="39" customHeight="0">
      <c r="A27" t="s">
        <v>279</v>
      </c>
      <c r="B27" t="s">
        <v>279</v>
      </c>
      <c r="C27" s="5" t="s">
        <v>654</v>
      </c>
      <c r="D27" t="s">
        <v>260</v>
      </c>
      <c r="E27" s="5" t="s">
        <v>528</v>
      </c>
      <c r="F27" t="s">
        <v>19</v>
      </c>
      <c r="H27" s="15">
        <f>=IF(F27="😍 已完成",1,IF(F27="💪🏻 进行中",G27,0))</f>
      </c>
      <c r="I27" t="s">
        <v>262</v>
      </c>
      <c r="L27" t="s">
        <v>282</v>
      </c>
      <c r="M27" t="s">
        <v>207</v>
      </c>
      <c r="N27" s="4">
        <f>=IF(ISBLANK(K27),M27,K27)</f>
      </c>
      <c r="O27" t="s">
        <v>118</v>
      </c>
      <c r="P27" s="15">
        <f>=IF(AND(F27="🥺 搁置选做",D27="选做"),1,H27)</f>
      </c>
      <c r="R27" s="15">
        <f>=H27</f>
      </c>
    </row>
    <row r="28" spans="1:18" ht="39" customHeight="0">
      <c r="A28" t="s">
        <v>279</v>
      </c>
      <c r="B28" t="s">
        <v>279</v>
      </c>
      <c r="C28" s="5" t="s">
        <v>655</v>
      </c>
      <c r="D28" t="s">
        <v>260</v>
      </c>
      <c r="E28" s="5" t="s">
        <v>528</v>
      </c>
      <c r="F28" t="s">
        <v>19</v>
      </c>
      <c r="H28" s="15">
        <f>=IF(F28="😍 已完成",1,IF(F28="💪🏻 进行中",G28,0))</f>
      </c>
      <c r="I28" t="s">
        <v>262</v>
      </c>
      <c r="L28" t="s">
        <v>282</v>
      </c>
      <c r="M28" t="s">
        <v>207</v>
      </c>
      <c r="N28" s="4">
        <f>=IF(ISBLANK(K28),M28,K28)</f>
      </c>
      <c r="O28" t="s">
        <v>118</v>
      </c>
      <c r="P28" s="15">
        <f>=IF(AND(F28="🥺 搁置选做",D28="选做"),1,H28)</f>
      </c>
      <c r="R28" s="15">
        <f>=H28</f>
      </c>
    </row>
    <row r="29" spans="1:18" ht="39" customHeight="0">
      <c r="A29" t="s">
        <v>279</v>
      </c>
      <c r="B29" t="s">
        <v>279</v>
      </c>
      <c r="C29" s="5" t="s">
        <v>656</v>
      </c>
      <c r="D29" t="s">
        <v>260</v>
      </c>
      <c r="E29" s="5" t="s">
        <v>528</v>
      </c>
      <c r="F29" t="s">
        <v>19</v>
      </c>
      <c r="H29" s="15">
        <f>=IF(F29="😍 已完成",1,IF(F29="💪🏻 进行中",G29,0))</f>
      </c>
      <c r="I29" t="s">
        <v>262</v>
      </c>
      <c r="L29" t="s">
        <v>282</v>
      </c>
      <c r="M29" t="s">
        <v>210</v>
      </c>
      <c r="N29" s="4">
        <f>=IF(ISBLANK(K29),M29,K29)</f>
      </c>
      <c r="O29" t="s">
        <v>118</v>
      </c>
      <c r="P29" s="15">
        <f>=IF(AND(F29="🥺 搁置选做",D29="选做"),1,H29)</f>
      </c>
      <c r="R29" s="15">
        <f>=H29</f>
      </c>
    </row>
    <row r="30" spans="1:18" ht="39" customHeight="0">
      <c r="A30" t="s">
        <v>279</v>
      </c>
      <c r="B30" t="s">
        <v>279</v>
      </c>
      <c r="C30" s="5" t="s">
        <v>577</v>
      </c>
      <c r="D30" t="s">
        <v>260</v>
      </c>
      <c r="E30" s="5" t="s">
        <v>528</v>
      </c>
      <c r="F30" t="s">
        <v>19</v>
      </c>
      <c r="H30" s="15">
        <f>=IF(F30="😍 已完成",1,IF(F30="💪🏻 进行中",G30,0))</f>
      </c>
      <c r="I30" t="s">
        <v>262</v>
      </c>
      <c r="L30" t="s">
        <v>282</v>
      </c>
      <c r="M30" t="s">
        <v>219</v>
      </c>
      <c r="N30" s="4">
        <f>=IF(ISBLANK(K30),M30,K30)</f>
      </c>
      <c r="O30" t="s">
        <v>118</v>
      </c>
      <c r="P30" s="15">
        <f>=IF(AND(F30="🥺 搁置选做",D30="选做"),1,H30)</f>
      </c>
      <c r="R30" s="15">
        <f>=H30</f>
      </c>
    </row>
    <row r="31" spans="1:18" ht="39" customHeight="0">
      <c r="A31" t="s">
        <v>284</v>
      </c>
      <c r="B31" t="s">
        <v>284</v>
      </c>
      <c r="C31" s="5" t="s">
        <v>657</v>
      </c>
      <c r="D31" t="s">
        <v>260</v>
      </c>
      <c r="E31" s="5" t="s">
        <v>528</v>
      </c>
      <c r="F31" t="s">
        <v>19</v>
      </c>
      <c r="H31" s="15">
        <f>=IF(F31="😍 已完成",1,IF(F31="💪🏻 进行中",G31,0))</f>
      </c>
      <c r="I31" t="s">
        <v>262</v>
      </c>
      <c r="L31" t="s">
        <v>283</v>
      </c>
      <c r="M31" t="s">
        <v>210</v>
      </c>
      <c r="N31" s="4">
        <f>=IF(ISBLANK(K31),M31,K31)</f>
      </c>
      <c r="O31" t="s">
        <v>118</v>
      </c>
      <c r="P31" s="15">
        <f>=IF(AND(F31="🥺 搁置选做",D31="选做"),1,H31)</f>
      </c>
      <c r="R31" s="15">
        <f>=H31</f>
      </c>
    </row>
    <row r="32" spans="1:18" ht="39" customHeight="0">
      <c r="A32" t="s">
        <v>284</v>
      </c>
      <c r="B32" t="s">
        <v>284</v>
      </c>
      <c r="C32" s="5" t="s">
        <v>658</v>
      </c>
      <c r="D32" t="s">
        <v>260</v>
      </c>
      <c r="E32" s="5" t="s">
        <v>528</v>
      </c>
      <c r="F32" t="s">
        <v>19</v>
      </c>
      <c r="H32" s="15">
        <f>=IF(F32="😍 已完成",1,IF(F32="💪🏻 进行中",G32,0))</f>
      </c>
      <c r="I32" t="s">
        <v>262</v>
      </c>
      <c r="L32" t="s">
        <v>285</v>
      </c>
      <c r="M32" t="s">
        <v>211</v>
      </c>
      <c r="N32" s="4">
        <f>=IF(ISBLANK(K32),M32,K32)</f>
      </c>
      <c r="O32" t="s">
        <v>118</v>
      </c>
      <c r="P32" s="15">
        <f>=IF(AND(F32="🥺 搁置选做",D32="选做"),1,H32)</f>
      </c>
      <c r="R32" s="15">
        <f>=H32</f>
      </c>
    </row>
    <row r="33" spans="1:18" ht="39" customHeight="0">
      <c r="A33" t="s">
        <v>284</v>
      </c>
      <c r="B33" t="s">
        <v>284</v>
      </c>
      <c r="C33" s="5" t="s">
        <v>659</v>
      </c>
      <c r="D33" t="s">
        <v>274</v>
      </c>
      <c r="E33" s="5" t="s">
        <v>528</v>
      </c>
      <c r="F33" t="s">
        <v>19</v>
      </c>
      <c r="H33" s="15">
        <f>=IF(F33="😍 已完成",1,IF(F33="💪🏻 进行中",G33,0))</f>
      </c>
      <c r="I33" t="s">
        <v>262</v>
      </c>
      <c r="L33" t="s">
        <v>285</v>
      </c>
      <c r="M33" t="s">
        <v>213</v>
      </c>
      <c r="N33" s="4">
        <f>=IF(ISBLANK(K33),M33,K33)</f>
      </c>
      <c r="O33" t="s">
        <v>118</v>
      </c>
      <c r="P33" s="15">
        <f>=IF(AND(F33="🥺 搁置选做",D33="选做"),1,H33)</f>
      </c>
      <c r="R33" s="15">
        <f>=H33</f>
      </c>
    </row>
    <row r="34" spans="1:18" ht="39" customHeight="0">
      <c r="A34" t="s">
        <v>284</v>
      </c>
      <c r="B34" t="s">
        <v>284</v>
      </c>
      <c r="C34" s="5" t="s">
        <v>660</v>
      </c>
      <c r="D34" t="s">
        <v>260</v>
      </c>
      <c r="E34" s="5" t="s">
        <v>528</v>
      </c>
      <c r="F34" t="s">
        <v>19</v>
      </c>
      <c r="H34" s="15">
        <f>=IF(F34="😍 已完成",1,IF(F34="💪🏻 进行中",G34,0))</f>
      </c>
      <c r="I34" t="s">
        <v>262</v>
      </c>
      <c r="L34" t="s">
        <v>285</v>
      </c>
      <c r="M34" t="s">
        <v>212</v>
      </c>
      <c r="N34" s="4">
        <f>=IF(ISBLANK(K34),M34,K34)</f>
      </c>
      <c r="O34" t="s">
        <v>118</v>
      </c>
      <c r="P34" s="15">
        <f>=IF(AND(F34="🥺 搁置选做",D34="选做"),1,H34)</f>
      </c>
      <c r="R34" s="15">
        <f>=H34</f>
      </c>
    </row>
    <row r="35" spans="1:18" ht="39" customHeight="0">
      <c r="A35" t="s">
        <v>284</v>
      </c>
      <c r="B35" t="s">
        <v>284</v>
      </c>
      <c r="C35" s="5" t="s">
        <v>567</v>
      </c>
      <c r="D35" t="s">
        <v>274</v>
      </c>
      <c r="E35" s="5" t="s">
        <v>528</v>
      </c>
      <c r="F35" t="s">
        <v>19</v>
      </c>
      <c r="H35" s="15">
        <f>=IF(F35="😍 已完成",1,IF(F35="💪🏻 进行中",G35,0))</f>
      </c>
      <c r="I35" t="s">
        <v>262</v>
      </c>
      <c r="L35" t="s">
        <v>285</v>
      </c>
      <c r="M35" t="s">
        <v>215</v>
      </c>
      <c r="N35" s="4">
        <f>=IF(ISBLANK(K35),M35,K35)</f>
      </c>
      <c r="O35" t="s">
        <v>118</v>
      </c>
      <c r="P35" s="15">
        <f>=IF(AND(F35="🥺 搁置选做",D35="选做"),1,H35)</f>
      </c>
      <c r="R35" s="15">
        <f>=H35</f>
      </c>
    </row>
    <row r="36" spans="1:18" ht="39" customHeight="0">
      <c r="A36" t="s">
        <v>284</v>
      </c>
      <c r="B36" t="s">
        <v>284</v>
      </c>
      <c r="C36" s="5" t="s">
        <v>661</v>
      </c>
      <c r="D36" t="s">
        <v>260</v>
      </c>
      <c r="E36" s="5" t="s">
        <v>528</v>
      </c>
      <c r="F36" t="s">
        <v>19</v>
      </c>
      <c r="H36" s="15">
        <f>=IF(F36="😍 已完成",1,IF(F36="💪🏻 进行中",G36,0))</f>
      </c>
      <c r="I36" t="s">
        <v>262</v>
      </c>
      <c r="L36" t="s">
        <v>285</v>
      </c>
      <c r="M36" t="s">
        <v>213</v>
      </c>
      <c r="N36" s="4">
        <f>=IF(ISBLANK(K36),M36,K36)</f>
      </c>
      <c r="O36" t="s">
        <v>118</v>
      </c>
      <c r="P36" s="15">
        <f>=IF(AND(F36="🥺 搁置选做",D36="选做"),1,H36)</f>
      </c>
      <c r="R36" s="15">
        <f>=H36</f>
      </c>
    </row>
    <row r="37" spans="1:18" ht="39" customHeight="0">
      <c r="A37" t="s">
        <v>284</v>
      </c>
      <c r="B37" t="s">
        <v>284</v>
      </c>
      <c r="C37" s="5" t="s">
        <v>662</v>
      </c>
      <c r="D37" t="s">
        <v>260</v>
      </c>
      <c r="E37" s="5" t="s">
        <v>528</v>
      </c>
      <c r="F37" t="s">
        <v>19</v>
      </c>
      <c r="H37" s="15">
        <f>=IF(F37="😍 已完成",1,IF(F37="💪🏻 进行中",G37,0))</f>
      </c>
      <c r="I37" t="s">
        <v>262</v>
      </c>
      <c r="L37" t="s">
        <v>285</v>
      </c>
      <c r="M37" t="s">
        <v>212</v>
      </c>
      <c r="N37" s="4">
        <f>=IF(ISBLANK(K37),M37,K37)</f>
      </c>
      <c r="O37" t="s">
        <v>118</v>
      </c>
      <c r="P37" s="15">
        <f>=IF(AND(F37="🥺 搁置选做",D37="选做"),1,H37)</f>
      </c>
      <c r="R37" s="15">
        <f>=H37</f>
      </c>
    </row>
    <row r="38" spans="1:18" ht="39" customHeight="0">
      <c r="A38" t="s">
        <v>284</v>
      </c>
      <c r="B38" t="s">
        <v>284</v>
      </c>
      <c r="C38" s="5" t="s">
        <v>663</v>
      </c>
      <c r="D38" t="s">
        <v>260</v>
      </c>
      <c r="E38" s="5" t="s">
        <v>528</v>
      </c>
      <c r="F38" t="s">
        <v>19</v>
      </c>
      <c r="H38" s="15">
        <f>=IF(F38="😍 已完成",1,IF(F38="💪🏻 进行中",G38,0))</f>
      </c>
      <c r="I38" t="s">
        <v>262</v>
      </c>
      <c r="L38" t="s">
        <v>285</v>
      </c>
      <c r="M38" t="s">
        <v>213</v>
      </c>
      <c r="N38" s="4">
        <f>=IF(ISBLANK(K38),M38,K38)</f>
      </c>
      <c r="O38" t="s">
        <v>118</v>
      </c>
      <c r="P38" s="15">
        <f>=IF(AND(F38="🥺 搁置选做",D38="选做"),1,H38)</f>
      </c>
      <c r="R38" s="15">
        <f>=H38</f>
      </c>
    </row>
    <row r="39" spans="1:18" ht="39" customHeight="0">
      <c r="A39" t="s">
        <v>284</v>
      </c>
      <c r="B39" t="s">
        <v>284</v>
      </c>
      <c r="C39" s="5" t="s">
        <v>664</v>
      </c>
      <c r="D39" t="s">
        <v>260</v>
      </c>
      <c r="E39" s="5" t="s">
        <v>528</v>
      </c>
      <c r="F39" t="s">
        <v>19</v>
      </c>
      <c r="H39" s="15">
        <f>=IF(F39="😍 已完成",1,IF(F39="💪🏻 进行中",G39,0))</f>
      </c>
      <c r="I39" t="s">
        <v>262</v>
      </c>
      <c r="L39" t="s">
        <v>285</v>
      </c>
      <c r="M39" t="s">
        <v>213</v>
      </c>
      <c r="N39" s="4">
        <f>=IF(ISBLANK(K39),M39,K39)</f>
      </c>
      <c r="O39" t="s">
        <v>118</v>
      </c>
      <c r="P39" s="15">
        <f>=IF(AND(F39="🥺 搁置选做",D39="选做"),1,H39)</f>
      </c>
      <c r="R39" s="15">
        <f>=H39</f>
      </c>
    </row>
    <row r="40" spans="1:18" ht="39" customHeight="0">
      <c r="A40" t="s">
        <v>284</v>
      </c>
      <c r="B40" t="s">
        <v>284</v>
      </c>
      <c r="C40" s="5" t="s">
        <v>665</v>
      </c>
      <c r="D40" t="s">
        <v>260</v>
      </c>
      <c r="E40" s="5" t="s">
        <v>528</v>
      </c>
      <c r="F40" t="s">
        <v>19</v>
      </c>
      <c r="H40" s="15">
        <f>=IF(F40="😍 已完成",1,IF(F40="💪🏻 进行中",G40,0))</f>
      </c>
      <c r="I40" t="s">
        <v>262</v>
      </c>
      <c r="L40" t="s">
        <v>285</v>
      </c>
      <c r="M40" t="s">
        <v>213</v>
      </c>
      <c r="N40" s="4">
        <f>=IF(ISBLANK(K40),M40,K40)</f>
      </c>
      <c r="O40" t="s">
        <v>118</v>
      </c>
      <c r="P40" s="15">
        <f>=IF(AND(F40="🥺 搁置选做",D40="选做"),1,H40)</f>
      </c>
      <c r="R40" s="15">
        <f>=H40</f>
      </c>
    </row>
    <row r="41" spans="1:18" ht="39" customHeight="0">
      <c r="A41" t="s">
        <v>284</v>
      </c>
      <c r="B41" t="s">
        <v>284</v>
      </c>
      <c r="C41" s="5" t="s">
        <v>666</v>
      </c>
      <c r="D41" t="s">
        <v>260</v>
      </c>
      <c r="E41" s="5" t="s">
        <v>528</v>
      </c>
      <c r="F41" t="s">
        <v>19</v>
      </c>
      <c r="H41" s="15">
        <f>=IF(F41="😍 已完成",1,IF(F41="💪🏻 进行中",G41,0))</f>
      </c>
      <c r="I41" t="s">
        <v>262</v>
      </c>
      <c r="L41" t="s">
        <v>285</v>
      </c>
      <c r="M41" t="s">
        <v>213</v>
      </c>
      <c r="N41" s="4">
        <f>=IF(ISBLANK(K41),M41,K41)</f>
      </c>
      <c r="O41" t="s">
        <v>118</v>
      </c>
      <c r="P41" s="15">
        <f>=IF(AND(F41="🥺 搁置选做",D41="选做"),1,H41)</f>
      </c>
      <c r="R41" s="15">
        <f>=H41</f>
      </c>
    </row>
    <row r="42" spans="1:18" ht="39" customHeight="0">
      <c r="A42" t="s">
        <v>284</v>
      </c>
      <c r="B42" t="s">
        <v>284</v>
      </c>
      <c r="C42" s="5" t="s">
        <v>667</v>
      </c>
      <c r="D42" t="s">
        <v>260</v>
      </c>
      <c r="E42" s="5" t="s">
        <v>528</v>
      </c>
      <c r="F42" t="s">
        <v>19</v>
      </c>
      <c r="H42" s="15">
        <f>=IF(F42="😍 已完成",1,IF(F42="💪🏻 进行中",G42,0))</f>
      </c>
      <c r="I42" t="s">
        <v>262</v>
      </c>
      <c r="L42" t="s">
        <v>287</v>
      </c>
      <c r="M42" t="s">
        <v>286</v>
      </c>
      <c r="N42" s="4">
        <f>=IF(ISBLANK(K42),M42,K42)</f>
      </c>
      <c r="O42" t="s">
        <v>118</v>
      </c>
      <c r="P42" s="15">
        <f>=IF(AND(F42="🥺 搁置选做",D42="选做"),1,H42)</f>
      </c>
      <c r="R42" s="15">
        <f>=H42</f>
      </c>
    </row>
    <row r="43" spans="1:18" ht="39" customHeight="0">
      <c r="A43" t="s">
        <v>288</v>
      </c>
      <c r="B43" t="s">
        <v>288</v>
      </c>
      <c r="C43" s="5" t="s">
        <v>668</v>
      </c>
      <c r="D43" t="s">
        <v>260</v>
      </c>
      <c r="E43" s="5" t="s">
        <v>528</v>
      </c>
      <c r="F43" t="s">
        <v>19</v>
      </c>
      <c r="H43" s="15">
        <f>=IF(F43="😍 已完成",1,IF(F43="💪🏻 进行中",G43,0))</f>
      </c>
      <c r="I43" t="s">
        <v>262</v>
      </c>
      <c r="L43" t="s">
        <v>289</v>
      </c>
      <c r="M43" t="s">
        <v>235</v>
      </c>
      <c r="N43" s="4">
        <f>=IF(ISBLANK(K43),M43,K43)</f>
      </c>
      <c r="O43" t="s">
        <v>118</v>
      </c>
      <c r="P43" s="15">
        <f>=IF(AND(F43="🥺 搁置选做",D43="选做"),1,H43)</f>
      </c>
      <c r="R43" s="15">
        <f>=H43</f>
      </c>
    </row>
    <row r="44" spans="1:18" ht="39" customHeight="0">
      <c r="A44" t="s">
        <v>288</v>
      </c>
      <c r="B44" t="s">
        <v>288</v>
      </c>
      <c r="C44" s="5" t="s">
        <v>669</v>
      </c>
      <c r="D44" t="s">
        <v>260</v>
      </c>
      <c r="E44" s="5" t="s">
        <v>528</v>
      </c>
      <c r="F44" t="s">
        <v>19</v>
      </c>
      <c r="H44" s="15">
        <f>=IF(F44="😍 已完成",1,IF(F44="💪🏻 进行中",G44,0))</f>
      </c>
      <c r="I44" t="s">
        <v>262</v>
      </c>
      <c r="L44" t="s">
        <v>289</v>
      </c>
      <c r="M44" t="s">
        <v>235</v>
      </c>
      <c r="N44" s="4">
        <f>=IF(ISBLANK(K44),M44,K44)</f>
      </c>
      <c r="O44" t="s">
        <v>118</v>
      </c>
      <c r="P44" s="15">
        <f>=IF(AND(F44="🥺 搁置选做",D44="选做"),1,H44)</f>
      </c>
      <c r="R44" s="15">
        <f>=H44</f>
      </c>
    </row>
    <row r="45" spans="1:18" ht="39" customHeight="0">
      <c r="A45" t="s">
        <v>288</v>
      </c>
      <c r="B45" t="s">
        <v>288</v>
      </c>
      <c r="C45" s="5" t="s">
        <v>670</v>
      </c>
      <c r="D45" t="s">
        <v>260</v>
      </c>
      <c r="E45" s="5" t="s">
        <v>528</v>
      </c>
      <c r="F45" t="s">
        <v>19</v>
      </c>
      <c r="H45" s="15">
        <f>=IF(F45="😍 已完成",1,IF(F45="💪🏻 进行中",G45,0))</f>
      </c>
      <c r="I45" t="s">
        <v>262</v>
      </c>
      <c r="L45" t="s">
        <v>289</v>
      </c>
      <c r="M45" t="s">
        <v>290</v>
      </c>
      <c r="N45" s="4">
        <f>=IF(ISBLANK(K45),M45,K45)</f>
      </c>
      <c r="O45" t="s">
        <v>118</v>
      </c>
      <c r="P45" s="15">
        <f>=IF(AND(F45="🥺 搁置选做",D45="选做"),1,H45)</f>
      </c>
      <c r="R45" s="15">
        <f>=H45</f>
      </c>
    </row>
    <row r="46" spans="1:18" ht="39" customHeight="0">
      <c r="A46" t="s">
        <v>288</v>
      </c>
      <c r="B46" t="s">
        <v>288</v>
      </c>
      <c r="C46" s="5" t="s">
        <v>671</v>
      </c>
      <c r="D46" t="s">
        <v>260</v>
      </c>
      <c r="E46" s="5" t="s">
        <v>528</v>
      </c>
      <c r="F46" t="s">
        <v>19</v>
      </c>
      <c r="H46" s="15">
        <f>=IF(F46="😍 已完成",1,IF(F46="💪🏻 进行中",G46,0))</f>
      </c>
      <c r="I46" t="s">
        <v>262</v>
      </c>
      <c r="L46" t="s">
        <v>289</v>
      </c>
      <c r="M46" t="s">
        <v>235</v>
      </c>
      <c r="N46" s="4">
        <f>=IF(ISBLANK(K46),M46,K46)</f>
      </c>
      <c r="O46" t="s">
        <v>118</v>
      </c>
      <c r="P46" s="15">
        <f>=IF(AND(F46="🥺 搁置选做",D46="选做"),1,H46)</f>
      </c>
      <c r="R46" s="15">
        <f>=H46</f>
      </c>
    </row>
    <row r="47" spans="1:18" ht="39" customHeight="0">
      <c r="A47" t="s">
        <v>291</v>
      </c>
      <c r="B47" t="s">
        <v>291</v>
      </c>
      <c r="C47" s="5" t="s">
        <v>672</v>
      </c>
      <c r="D47" t="s">
        <v>260</v>
      </c>
      <c r="E47" s="5" t="s">
        <v>528</v>
      </c>
      <c r="F47" t="s">
        <v>19</v>
      </c>
      <c r="H47" s="15">
        <f>=IF(F47="😍 已完成",1,IF(F47="💪🏻 进行中",G47,0))</f>
      </c>
      <c r="I47" t="s">
        <v>262</v>
      </c>
      <c r="L47" t="s">
        <v>292</v>
      </c>
      <c r="M47" t="s">
        <v>245</v>
      </c>
      <c r="N47" s="4">
        <f>=IF(ISBLANK(K47),M47,K47)</f>
      </c>
      <c r="O47" t="s">
        <v>118</v>
      </c>
      <c r="P47" s="15">
        <f>=IF(AND(F47="🥺 搁置选做",D47="选做"),1,H47)</f>
      </c>
      <c r="R47" s="15">
        <f>=H47</f>
      </c>
    </row>
    <row r="48" spans="1:18" ht="39" customHeight="0">
      <c r="A48" t="s">
        <v>293</v>
      </c>
      <c r="B48" t="s">
        <v>293</v>
      </c>
      <c r="C48" s="5" t="s">
        <v>673</v>
      </c>
      <c r="D48" t="s">
        <v>260</v>
      </c>
      <c r="E48" s="5" t="s">
        <v>528</v>
      </c>
      <c r="F48" t="s">
        <v>24</v>
      </c>
      <c r="H48" s="15">
        <f>=IF(F48="😍 已完成",1,IF(F48="💪🏻 进行中",G48,0))</f>
      </c>
      <c r="I48" t="s">
        <v>262</v>
      </c>
      <c r="L48" t="s">
        <v>294</v>
      </c>
      <c r="M48" t="s">
        <v>15</v>
      </c>
      <c r="N48" s="4">
        <f>=IF(ISBLANK(K48),M48,K48)</f>
      </c>
      <c r="O48" t="s">
        <v>118</v>
      </c>
      <c r="P48" s="15">
        <f>=IF(AND(F48="🥺 搁置选做",D48="选做"),1,H48)</f>
      </c>
      <c r="R48" s="15">
        <f>=H48</f>
      </c>
    </row>
    <row r="49" spans="1:18" ht="39" customHeight="0">
      <c r="A49" t="s">
        <v>288</v>
      </c>
      <c r="B49" t="s">
        <v>288</v>
      </c>
      <c r="C49" s="5" t="s">
        <v>674</v>
      </c>
      <c r="D49" t="s">
        <v>260</v>
      </c>
      <c r="E49" s="5" t="s">
        <v>528</v>
      </c>
      <c r="F49" t="s">
        <v>19</v>
      </c>
      <c r="H49" s="15">
        <f>=IF(F49="😍 已完成",1,IF(F49="💪🏻 进行中",G49,0))</f>
      </c>
      <c r="I49" t="s">
        <v>262</v>
      </c>
      <c r="L49" t="s">
        <v>289</v>
      </c>
      <c r="M49" t="s">
        <v>235</v>
      </c>
      <c r="N49" s="4">
        <f>=IF(ISBLANK(K49),M49,K49)</f>
      </c>
      <c r="O49" t="s">
        <v>118</v>
      </c>
      <c r="P49" s="15">
        <f>=IF(AND(F49="🥺 搁置选做",D49="选做"),1,H49)</f>
      </c>
      <c r="R49" s="15">
        <f>=H49</f>
      </c>
    </row>
    <row r="50" spans="1:18" ht="39" customHeight="0">
      <c r="A50" t="s">
        <v>288</v>
      </c>
      <c r="B50" t="s">
        <v>288</v>
      </c>
      <c r="C50" s="5" t="s">
        <v>675</v>
      </c>
      <c r="D50" t="s">
        <v>260</v>
      </c>
      <c r="E50" s="5" t="s">
        <v>528</v>
      </c>
      <c r="F50" t="s">
        <v>19</v>
      </c>
      <c r="H50" s="15">
        <f>=IF(F50="😍 已完成",1,IF(F50="💪🏻 进行中",G50,0))</f>
      </c>
      <c r="I50" t="s">
        <v>262</v>
      </c>
      <c r="L50" t="s">
        <v>289</v>
      </c>
      <c r="M50" t="s">
        <v>235</v>
      </c>
      <c r="N50" s="4">
        <f>=IF(ISBLANK(K50),M50,K50)</f>
      </c>
      <c r="O50" t="s">
        <v>118</v>
      </c>
      <c r="P50" s="15">
        <f>=IF(AND(F50="🥺 搁置选做",D50="选做"),1,H50)</f>
      </c>
      <c r="R50" s="15">
        <f>=H50</f>
      </c>
    </row>
    <row r="51" spans="1:18" ht="39" customHeight="0">
      <c r="A51" t="s">
        <v>288</v>
      </c>
      <c r="B51" t="s">
        <v>288</v>
      </c>
      <c r="C51" s="5" t="s">
        <v>676</v>
      </c>
      <c r="D51" t="s">
        <v>260</v>
      </c>
      <c r="E51" s="5" t="s">
        <v>528</v>
      </c>
      <c r="F51" t="s">
        <v>19</v>
      </c>
      <c r="H51" s="15">
        <f>=IF(F51="😍 已完成",1,IF(F51="💪🏻 进行中",G51,0))</f>
      </c>
      <c r="I51" t="s">
        <v>262</v>
      </c>
      <c r="L51" t="s">
        <v>289</v>
      </c>
      <c r="M51" t="s">
        <v>235</v>
      </c>
      <c r="N51" s="4">
        <f>=IF(ISBLANK(K51),M51,K51)</f>
      </c>
      <c r="O51" t="s">
        <v>118</v>
      </c>
      <c r="P51" s="15">
        <f>=IF(AND(F51="🥺 搁置选做",D51="选做"),1,H51)</f>
      </c>
      <c r="R51" s="15">
        <f>=H51</f>
      </c>
    </row>
    <row r="52" spans="1:18" ht="39" customHeight="0">
      <c r="A52" t="s">
        <v>288</v>
      </c>
      <c r="B52" t="s">
        <v>288</v>
      </c>
      <c r="C52" s="5" t="s">
        <v>677</v>
      </c>
      <c r="D52" t="s">
        <v>260</v>
      </c>
      <c r="E52" s="5" t="s">
        <v>528</v>
      </c>
      <c r="F52" t="s">
        <v>19</v>
      </c>
      <c r="H52" s="15">
        <f>=IF(F52="😍 已完成",1,IF(F52="💪🏻 进行中",G52,0))</f>
      </c>
      <c r="I52" t="s">
        <v>262</v>
      </c>
      <c r="L52" t="s">
        <v>289</v>
      </c>
      <c r="M52" t="s">
        <v>235</v>
      </c>
      <c r="N52" s="4">
        <f>=IF(ISBLANK(K52),M52,K52)</f>
      </c>
      <c r="O52" t="s">
        <v>118</v>
      </c>
      <c r="P52" s="15">
        <f>=IF(AND(F52="🥺 搁置选做",D52="选做"),1,H52)</f>
      </c>
      <c r="R52" s="15">
        <f>=H52</f>
      </c>
    </row>
    <row r="53" spans="1:18" ht="39" customHeight="0">
      <c r="A53" t="s">
        <v>263</v>
      </c>
      <c r="B53" t="s">
        <v>263</v>
      </c>
      <c r="C53" s="5" t="s">
        <v>679</v>
      </c>
      <c r="D53" t="s">
        <v>260</v>
      </c>
      <c r="E53" s="5" t="s">
        <v>528</v>
      </c>
      <c r="F53" t="s">
        <v>19</v>
      </c>
      <c r="G53" s="15">
        <v>0.3</v>
      </c>
      <c r="H53" s="15">
        <f>=IF(F53="😍 已完成",1,IF(F53="💪🏻 进行中",G53,0))</f>
      </c>
      <c r="I53" t="s">
        <v>262</v>
      </c>
      <c r="J53" s="5" t="s">
        <v>678</v>
      </c>
      <c r="L53" t="s">
        <v>296</v>
      </c>
      <c r="M53" t="s">
        <v>180</v>
      </c>
      <c r="N53" s="4">
        <f>=IF(ISBLANK(K53),M53,K53)</f>
      </c>
      <c r="O53" t="s">
        <v>118</v>
      </c>
      <c r="P53" s="15">
        <f>=IF(AND(F53="🥺 搁置选做",D53="选做"),1,H53)</f>
      </c>
      <c r="Q53" t="s">
        <v>295</v>
      </c>
      <c r="R53" s="15">
        <f>=H53</f>
      </c>
    </row>
    <row r="54" spans="1:18" ht="39" customHeight="0">
      <c r="A54" t="s">
        <v>265</v>
      </c>
      <c r="B54" t="s">
        <v>265</v>
      </c>
      <c r="C54" s="5" t="s">
        <v>680</v>
      </c>
      <c r="D54" t="s">
        <v>260</v>
      </c>
      <c r="E54" s="5" t="s">
        <v>528</v>
      </c>
      <c r="F54" t="s">
        <v>19</v>
      </c>
      <c r="H54" s="15">
        <f>=IF(F54="😍 已完成",1,IF(F54="💪🏻 进行中",G54,0))</f>
      </c>
      <c r="I54" t="s">
        <v>262</v>
      </c>
      <c r="L54" t="s">
        <v>266</v>
      </c>
      <c r="M54" t="s">
        <v>184</v>
      </c>
      <c r="N54" s="4">
        <f>=IF(ISBLANK(K54),M54,K54)</f>
      </c>
      <c r="O54" t="s">
        <v>118</v>
      </c>
      <c r="P54" s="15">
        <f>=IF(AND(F54="🥺 搁置选做",D54="选做"),1,H54)</f>
      </c>
      <c r="R54" s="15">
        <f>=H54</f>
      </c>
    </row>
    <row r="55" spans="1:18" ht="39" customHeight="0">
      <c r="A55" t="s">
        <v>267</v>
      </c>
      <c r="B55" t="s">
        <v>267</v>
      </c>
      <c r="C55" s="5" t="s">
        <v>681</v>
      </c>
      <c r="D55" t="s">
        <v>260</v>
      </c>
      <c r="E55" s="5" t="s">
        <v>528</v>
      </c>
      <c r="F55" t="s">
        <v>19</v>
      </c>
      <c r="H55" s="15">
        <f>=IF(F55="😍 已完成",1,IF(F55="💪🏻 进行中",G55,0))</f>
      </c>
      <c r="I55" t="s">
        <v>262</v>
      </c>
      <c r="K55" t="s">
        <v>261</v>
      </c>
      <c r="L55" t="s">
        <v>269</v>
      </c>
      <c r="M55" t="s">
        <v>188</v>
      </c>
      <c r="N55" s="4">
        <f>=IF(ISBLANK(K55),M55,K55)</f>
      </c>
      <c r="O55" t="s">
        <v>118</v>
      </c>
      <c r="P55" s="15">
        <f>=IF(AND(F55="🥺 搁置选做",D55="选做"),1,H55)</f>
      </c>
      <c r="R55" s="15">
        <f>=H55</f>
      </c>
    </row>
    <row r="56" spans="1:18" ht="39" customHeight="0">
      <c r="A56" t="s">
        <v>267</v>
      </c>
      <c r="B56" t="s">
        <v>267</v>
      </c>
      <c r="C56" s="5" t="s">
        <v>682</v>
      </c>
      <c r="D56" t="s">
        <v>260</v>
      </c>
      <c r="E56" s="5" t="s">
        <v>528</v>
      </c>
      <c r="F56" t="s">
        <v>19</v>
      </c>
      <c r="H56" s="15">
        <f>=IF(F56="😍 已完成",1,IF(F56="💪🏻 进行中",G56,0))</f>
      </c>
      <c r="I56" t="s">
        <v>262</v>
      </c>
      <c r="L56" t="s">
        <v>269</v>
      </c>
      <c r="M56" t="s">
        <v>188</v>
      </c>
      <c r="N56" s="4">
        <f>=IF(ISBLANK(K56),M56,K56)</f>
      </c>
      <c r="O56" t="s">
        <v>118</v>
      </c>
      <c r="P56" s="15">
        <f>=IF(AND(F56="🥺 搁置选做",D56="选做"),1,H56)</f>
      </c>
      <c r="R56" s="15">
        <f>=H56</f>
      </c>
    </row>
    <row r="57" spans="1:18" ht="39" customHeight="0">
      <c r="A57" t="s">
        <v>267</v>
      </c>
      <c r="B57" t="s">
        <v>267</v>
      </c>
      <c r="C57" s="5" t="s">
        <v>683</v>
      </c>
      <c r="D57" t="s">
        <v>260</v>
      </c>
      <c r="E57" s="5" t="s">
        <v>528</v>
      </c>
      <c r="F57" t="s">
        <v>19</v>
      </c>
      <c r="H57" s="15">
        <f>=IF(F57="😍 已完成",1,IF(F57="💪🏻 进行中",G57,0))</f>
      </c>
      <c r="I57" t="s">
        <v>262</v>
      </c>
      <c r="L57" t="s">
        <v>297</v>
      </c>
      <c r="M57" t="s">
        <v>298</v>
      </c>
      <c r="N57" s="4">
        <f>=IF(ISBLANK(K57),M57,K57)</f>
      </c>
      <c r="O57" t="s">
        <v>118</v>
      </c>
      <c r="P57" s="15">
        <f>=IF(AND(F57="🥺 搁置选做",D57="选做"),1,H57)</f>
      </c>
      <c r="R57" s="15">
        <f>=H57</f>
      </c>
    </row>
    <row r="58" spans="1:18" ht="39" customHeight="0">
      <c r="A58" t="s">
        <v>267</v>
      </c>
      <c r="B58" t="s">
        <v>267</v>
      </c>
      <c r="C58" s="5" t="s">
        <v>637</v>
      </c>
      <c r="D58" t="s">
        <v>260</v>
      </c>
      <c r="E58" s="5" t="s">
        <v>528</v>
      </c>
      <c r="F58" t="s">
        <v>19</v>
      </c>
      <c r="H58" s="15">
        <f>=IF(F58="😍 已完成",1,IF(F58="💪🏻 进行中",G58,0))</f>
      </c>
      <c r="I58" t="s">
        <v>262</v>
      </c>
      <c r="L58" t="s">
        <v>297</v>
      </c>
      <c r="M58" t="s">
        <v>298</v>
      </c>
      <c r="N58" s="4">
        <f>=IF(ISBLANK(K58),M58,K58)</f>
      </c>
      <c r="O58" t="s">
        <v>118</v>
      </c>
      <c r="P58" s="15">
        <f>=IF(AND(F58="🥺 搁置选做",D58="选做"),1,H58)</f>
      </c>
      <c r="R58" s="15">
        <f>=H58</f>
      </c>
    </row>
    <row r="59" spans="1:18" ht="39" customHeight="0">
      <c r="A59" t="s">
        <v>267</v>
      </c>
      <c r="B59" t="s">
        <v>267</v>
      </c>
      <c r="C59" s="5" t="s">
        <v>684</v>
      </c>
      <c r="D59" t="s">
        <v>260</v>
      </c>
      <c r="E59" s="5" t="s">
        <v>528</v>
      </c>
      <c r="F59" t="s">
        <v>19</v>
      </c>
      <c r="H59" s="15">
        <f>=IF(F59="😍 已完成",1,IF(F59="💪🏻 进行中",G59,0))</f>
      </c>
      <c r="I59" t="s">
        <v>262</v>
      </c>
      <c r="L59" t="s">
        <v>297</v>
      </c>
      <c r="M59" t="s">
        <v>298</v>
      </c>
      <c r="N59" s="4">
        <f>=IF(ISBLANK(K59),M59,K59)</f>
      </c>
      <c r="O59" t="s">
        <v>118</v>
      </c>
      <c r="P59" s="15">
        <f>=IF(AND(F59="🥺 搁置选做",D59="选做"),1,H59)</f>
      </c>
      <c r="R59" s="15">
        <f>=H59</f>
      </c>
    </row>
    <row r="60" spans="1:18" ht="39" customHeight="0">
      <c r="A60" t="s">
        <v>267</v>
      </c>
      <c r="B60" t="s">
        <v>267</v>
      </c>
      <c r="C60" s="5" t="s">
        <v>685</v>
      </c>
      <c r="D60" t="s">
        <v>260</v>
      </c>
      <c r="E60" s="5" t="s">
        <v>528</v>
      </c>
      <c r="F60" t="s">
        <v>19</v>
      </c>
      <c r="H60" s="15">
        <f>=IF(F60="😍 已完成",1,IF(F60="💪🏻 进行中",G60,0))</f>
      </c>
      <c r="I60" t="s">
        <v>262</v>
      </c>
      <c r="L60" t="s">
        <v>297</v>
      </c>
      <c r="M60" t="s">
        <v>298</v>
      </c>
      <c r="N60" s="4">
        <f>=IF(ISBLANK(K60),M60,K60)</f>
      </c>
      <c r="O60" t="s">
        <v>118</v>
      </c>
      <c r="P60" s="15">
        <f>=IF(AND(F60="🥺 搁置选做",D60="选做"),1,H60)</f>
      </c>
      <c r="R60" s="15">
        <f>=H60</f>
      </c>
    </row>
    <row r="61" spans="1:18" ht="39" customHeight="0">
      <c r="A61" t="s">
        <v>270</v>
      </c>
      <c r="B61" t="s">
        <v>270</v>
      </c>
      <c r="C61" s="5" t="s">
        <v>686</v>
      </c>
      <c r="D61" t="s">
        <v>260</v>
      </c>
      <c r="E61" s="5" t="s">
        <v>528</v>
      </c>
      <c r="F61" t="s">
        <v>19</v>
      </c>
      <c r="H61" s="15">
        <f>=IF(F61="😍 已完成",1,IF(F61="💪🏻 进行中",G61,0))</f>
      </c>
      <c r="I61" t="s">
        <v>262</v>
      </c>
      <c r="L61" t="s">
        <v>271</v>
      </c>
      <c r="M61" t="s">
        <v>192</v>
      </c>
      <c r="N61" s="4">
        <f>=IF(ISBLANK(K61),M61,K61)</f>
      </c>
      <c r="O61" t="s">
        <v>118</v>
      </c>
      <c r="P61" s="15">
        <f>=IF(AND(F61="🥺 搁置选做",D61="选做"),1,H61)</f>
      </c>
      <c r="R61" s="15">
        <f>=H61</f>
      </c>
    </row>
    <row r="62" spans="1:18" ht="39" customHeight="0">
      <c r="A62" t="s">
        <v>270</v>
      </c>
      <c r="B62" t="s">
        <v>270</v>
      </c>
      <c r="C62" s="5" t="s">
        <v>687</v>
      </c>
      <c r="D62" t="s">
        <v>260</v>
      </c>
      <c r="E62" s="5" t="s">
        <v>528</v>
      </c>
      <c r="F62" t="s">
        <v>19</v>
      </c>
      <c r="H62" s="15">
        <f>=IF(F62="😍 已完成",1,IF(F62="💪🏻 进行中",G62,0))</f>
      </c>
      <c r="I62" t="s">
        <v>262</v>
      </c>
      <c r="L62" t="s">
        <v>271</v>
      </c>
      <c r="M62" t="s">
        <v>192</v>
      </c>
      <c r="N62" s="4">
        <f>=IF(ISBLANK(K62),M62,K62)</f>
      </c>
      <c r="O62" t="s">
        <v>118</v>
      </c>
      <c r="P62" s="15">
        <f>=IF(AND(F62="🥺 搁置选做",D62="选做"),1,H62)</f>
      </c>
      <c r="R62" s="15">
        <f>=H62</f>
      </c>
    </row>
    <row r="63" spans="1:18" ht="39" customHeight="0">
      <c r="A63" t="s">
        <v>270</v>
      </c>
      <c r="B63" t="s">
        <v>270</v>
      </c>
      <c r="C63" s="5" t="s">
        <v>688</v>
      </c>
      <c r="D63" t="s">
        <v>260</v>
      </c>
      <c r="E63" s="5" t="s">
        <v>528</v>
      </c>
      <c r="F63" t="s">
        <v>19</v>
      </c>
      <c r="H63" s="15">
        <f>=IF(F63="😍 已完成",1,IF(F63="💪🏻 进行中",G63,0))</f>
      </c>
      <c r="I63" t="s">
        <v>262</v>
      </c>
      <c r="L63" t="s">
        <v>299</v>
      </c>
      <c r="M63" t="s">
        <v>193</v>
      </c>
      <c r="N63" s="4">
        <f>=IF(ISBLANK(K63),M63,K63)</f>
      </c>
      <c r="O63" t="s">
        <v>118</v>
      </c>
      <c r="P63" s="15">
        <f>=IF(AND(F63="🥺 搁置选做",D63="选做"),1,H63)</f>
      </c>
      <c r="R63" s="15">
        <f>=H63</f>
      </c>
    </row>
    <row r="64" spans="1:18" ht="39" customHeight="0">
      <c r="A64" t="s">
        <v>270</v>
      </c>
      <c r="B64" t="s">
        <v>270</v>
      </c>
      <c r="C64" s="5" t="s">
        <v>689</v>
      </c>
      <c r="D64" t="s">
        <v>260</v>
      </c>
      <c r="E64" s="5" t="s">
        <v>528</v>
      </c>
      <c r="F64" t="s">
        <v>19</v>
      </c>
      <c r="H64" s="15">
        <f>=IF(F64="😍 已完成",1,IF(F64="💪🏻 进行中",G64,0))</f>
      </c>
      <c r="I64" t="s">
        <v>262</v>
      </c>
      <c r="L64" t="s">
        <v>299</v>
      </c>
      <c r="M64" t="s">
        <v>193</v>
      </c>
      <c r="N64" s="4">
        <f>=IF(ISBLANK(K64),M64,K64)</f>
      </c>
      <c r="O64" t="s">
        <v>118</v>
      </c>
      <c r="P64" s="15">
        <f>=IF(AND(F64="🥺 搁置选做",D64="选做"),1,H64)</f>
      </c>
      <c r="R64" s="15">
        <f>=H64</f>
      </c>
    </row>
    <row r="65" spans="1:18" ht="39" customHeight="0">
      <c r="A65" t="s">
        <v>270</v>
      </c>
      <c r="B65" t="s">
        <v>270</v>
      </c>
      <c r="C65" s="5" t="s">
        <v>690</v>
      </c>
      <c r="D65" t="s">
        <v>274</v>
      </c>
      <c r="E65" s="5" t="s">
        <v>528</v>
      </c>
      <c r="F65" t="s">
        <v>273</v>
      </c>
      <c r="H65" s="15">
        <f>=IF(F65="😍 已完成",1,IF(F65="💪🏻 进行中",G65,0))</f>
      </c>
      <c r="I65" t="s">
        <v>262</v>
      </c>
      <c r="L65" t="s">
        <v>300</v>
      </c>
      <c r="M65" t="s">
        <v>193</v>
      </c>
      <c r="N65" s="4">
        <f>=IF(ISBLANK(K65),M65,K65)</f>
      </c>
      <c r="O65" t="s">
        <v>118</v>
      </c>
      <c r="P65" s="15">
        <f>=IF(AND(F65="🥺 搁置选做",D65="选做"),1,H65)</f>
      </c>
      <c r="R65" s="15">
        <f>=H65</f>
      </c>
    </row>
    <row r="66" spans="1:18" ht="39" customHeight="0">
      <c r="A66" t="s">
        <v>270</v>
      </c>
      <c r="B66" t="s">
        <v>270</v>
      </c>
      <c r="C66" s="5" t="s">
        <v>691</v>
      </c>
      <c r="D66" t="s">
        <v>274</v>
      </c>
      <c r="E66" s="5" t="s">
        <v>528</v>
      </c>
      <c r="F66" t="s">
        <v>273</v>
      </c>
      <c r="H66" s="15">
        <f>=IF(F66="😍 已完成",1,IF(F66="💪🏻 进行中",G66,0))</f>
      </c>
      <c r="I66" t="s">
        <v>262</v>
      </c>
      <c r="L66" t="s">
        <v>299</v>
      </c>
      <c r="M66" t="s">
        <v>193</v>
      </c>
      <c r="N66" s="4">
        <f>=IF(ISBLANK(K66),M66,K66)</f>
      </c>
      <c r="O66" t="s">
        <v>118</v>
      </c>
      <c r="P66" s="15">
        <f>=IF(AND(F66="🥺 搁置选做",D66="选做"),1,H66)</f>
      </c>
      <c r="R66" s="15">
        <f>=H66</f>
      </c>
    </row>
    <row r="67" spans="1:18" ht="39" customHeight="0">
      <c r="A67" t="s">
        <v>270</v>
      </c>
      <c r="B67" t="s">
        <v>270</v>
      </c>
      <c r="C67" s="5" t="s">
        <v>692</v>
      </c>
      <c r="D67" t="s">
        <v>274</v>
      </c>
      <c r="E67" s="5" t="s">
        <v>528</v>
      </c>
      <c r="F67" t="s">
        <v>273</v>
      </c>
      <c r="H67" s="15">
        <f>=IF(F67="😍 已完成",1,IF(F67="💪🏻 进行中",G67,0))</f>
      </c>
      <c r="I67" t="s">
        <v>262</v>
      </c>
      <c r="L67" t="s">
        <v>299</v>
      </c>
      <c r="M67" t="s">
        <v>193</v>
      </c>
      <c r="N67" s="4">
        <f>=IF(ISBLANK(K67),M67,K67)</f>
      </c>
      <c r="O67" t="s">
        <v>118</v>
      </c>
      <c r="P67" s="15">
        <f>=IF(AND(F67="🥺 搁置选做",D67="选做"),1,H67)</f>
      </c>
      <c r="R67" s="15">
        <f>=H67</f>
      </c>
    </row>
    <row r="68" spans="1:18" ht="39" customHeight="0">
      <c r="A68" t="s">
        <v>270</v>
      </c>
      <c r="B68" t="s">
        <v>270</v>
      </c>
      <c r="C68" s="5" t="s">
        <v>693</v>
      </c>
      <c r="D68" t="s">
        <v>274</v>
      </c>
      <c r="E68" s="5" t="s">
        <v>528</v>
      </c>
      <c r="F68" t="s">
        <v>273</v>
      </c>
      <c r="H68" s="15">
        <f>=IF(F68="😍 已完成",1,IF(F68="💪🏻 进行中",G68,0))</f>
      </c>
      <c r="I68" t="s">
        <v>262</v>
      </c>
      <c r="L68" t="s">
        <v>299</v>
      </c>
      <c r="M68" t="s">
        <v>193</v>
      </c>
      <c r="N68" s="4">
        <f>=IF(ISBLANK(K68),M68,K68)</f>
      </c>
      <c r="O68" t="s">
        <v>118</v>
      </c>
      <c r="P68" s="15">
        <f>=IF(AND(F68="🥺 搁置选做",D68="选做"),1,H68)</f>
      </c>
      <c r="R68" s="15">
        <f>=H68</f>
      </c>
    </row>
    <row r="69" spans="1:18" ht="39" customHeight="0">
      <c r="A69" t="s">
        <v>270</v>
      </c>
      <c r="B69" t="s">
        <v>270</v>
      </c>
      <c r="C69" s="5" t="s">
        <v>694</v>
      </c>
      <c r="D69" t="s">
        <v>260</v>
      </c>
      <c r="E69" s="5" t="s">
        <v>528</v>
      </c>
      <c r="F69" t="s">
        <v>19</v>
      </c>
      <c r="H69" s="15">
        <f>=IF(F69="😍 已完成",1,IF(F69="💪🏻 进行中",G69,0))</f>
      </c>
      <c r="I69" t="s">
        <v>262</v>
      </c>
      <c r="L69" t="s">
        <v>301</v>
      </c>
      <c r="M69" t="s">
        <v>193</v>
      </c>
      <c r="N69" s="4">
        <f>=IF(ISBLANK(K69),M69,K69)</f>
      </c>
      <c r="O69" t="s">
        <v>118</v>
      </c>
      <c r="P69" s="15">
        <f>=IF(AND(F69="🥺 搁置选做",D69="选做"),1,H69)</f>
      </c>
      <c r="R69" s="15">
        <f>=H69</f>
      </c>
    </row>
    <row r="70" spans="1:18" ht="39" customHeight="0">
      <c r="A70" t="s">
        <v>270</v>
      </c>
      <c r="B70" t="s">
        <v>270</v>
      </c>
      <c r="C70" s="5" t="s">
        <v>695</v>
      </c>
      <c r="D70" t="s">
        <v>260</v>
      </c>
      <c r="E70" s="5" t="s">
        <v>528</v>
      </c>
      <c r="F70" t="s">
        <v>19</v>
      </c>
      <c r="H70" s="15">
        <f>=IF(F70="😍 已完成",1,IF(F70="💪🏻 进行中",G70,0))</f>
      </c>
      <c r="I70" t="s">
        <v>262</v>
      </c>
      <c r="L70" t="s">
        <v>300</v>
      </c>
      <c r="M70" t="s">
        <v>193</v>
      </c>
      <c r="N70" s="4">
        <f>=IF(ISBLANK(K70),M70,K70)</f>
      </c>
      <c r="O70" t="s">
        <v>118</v>
      </c>
      <c r="P70" s="15">
        <f>=IF(AND(F70="🥺 搁置选做",D70="选做"),1,H70)</f>
      </c>
      <c r="R70" s="15">
        <f>=H70</f>
      </c>
    </row>
    <row r="71" spans="1:18" ht="39" customHeight="0">
      <c r="A71" t="s">
        <v>270</v>
      </c>
      <c r="B71" t="s">
        <v>270</v>
      </c>
      <c r="C71" s="5" t="s">
        <v>696</v>
      </c>
      <c r="D71" t="s">
        <v>260</v>
      </c>
      <c r="E71" s="5" t="s">
        <v>528</v>
      </c>
      <c r="F71" t="s">
        <v>19</v>
      </c>
      <c r="H71" s="15">
        <f>=IF(F71="😍 已完成",1,IF(F71="💪🏻 进行中",G71,0))</f>
      </c>
      <c r="I71" t="s">
        <v>262</v>
      </c>
      <c r="L71" t="s">
        <v>302</v>
      </c>
      <c r="M71" t="s">
        <v>195</v>
      </c>
      <c r="N71" s="4">
        <f>=IF(ISBLANK(K71),M71,K71)</f>
      </c>
      <c r="O71" t="s">
        <v>118</v>
      </c>
      <c r="P71" s="15">
        <f>=IF(AND(F71="🥺 搁置选做",D71="选做"),1,H71)</f>
      </c>
      <c r="R71" s="15">
        <f>=H71</f>
      </c>
    </row>
    <row r="72" spans="1:18" ht="39" customHeight="0">
      <c r="A72" t="s">
        <v>270</v>
      </c>
      <c r="B72" t="s">
        <v>270</v>
      </c>
      <c r="C72" s="5" t="s">
        <v>697</v>
      </c>
      <c r="D72" t="s">
        <v>274</v>
      </c>
      <c r="E72" s="5" t="s">
        <v>528</v>
      </c>
      <c r="F72" t="s">
        <v>273</v>
      </c>
      <c r="H72" s="15">
        <f>=IF(F72="😍 已完成",1,IF(F72="💪🏻 进行中",G72,0))</f>
      </c>
      <c r="I72" t="s">
        <v>262</v>
      </c>
      <c r="L72" t="s">
        <v>302</v>
      </c>
      <c r="M72" t="s">
        <v>193</v>
      </c>
      <c r="N72" s="4">
        <f>=IF(ISBLANK(K72),M72,K72)</f>
      </c>
      <c r="O72" t="s">
        <v>118</v>
      </c>
      <c r="P72" s="15">
        <f>=IF(AND(F72="🥺 搁置选做",D72="选做"),1,H72)</f>
      </c>
      <c r="R72" s="15">
        <f>=H72</f>
      </c>
    </row>
    <row r="73" spans="1:18" ht="39" customHeight="0">
      <c r="A73" t="s">
        <v>270</v>
      </c>
      <c r="B73" t="s">
        <v>270</v>
      </c>
      <c r="C73" s="5" t="s">
        <v>698</v>
      </c>
      <c r="D73" t="s">
        <v>274</v>
      </c>
      <c r="E73" s="5" t="s">
        <v>528</v>
      </c>
      <c r="F73" t="s">
        <v>273</v>
      </c>
      <c r="H73" s="15">
        <f>=IF(F73="😍 已完成",1,IF(F73="💪🏻 进行中",G73,0))</f>
      </c>
      <c r="I73" t="s">
        <v>262</v>
      </c>
      <c r="L73" t="s">
        <v>302</v>
      </c>
      <c r="M73" t="s">
        <v>193</v>
      </c>
      <c r="N73" s="4">
        <f>=IF(ISBLANK(K73),M73,K73)</f>
      </c>
      <c r="O73" t="s">
        <v>118</v>
      </c>
      <c r="P73" s="15">
        <f>=IF(AND(F73="🥺 搁置选做",D73="选做"),1,H73)</f>
      </c>
      <c r="R73" s="15">
        <f>=H73</f>
      </c>
    </row>
    <row r="74" spans="1:18" ht="39" customHeight="0">
      <c r="A74" t="s">
        <v>270</v>
      </c>
      <c r="B74" t="s">
        <v>270</v>
      </c>
      <c r="C74" s="5" t="s">
        <v>699</v>
      </c>
      <c r="D74" t="s">
        <v>274</v>
      </c>
      <c r="E74" s="5" t="s">
        <v>528</v>
      </c>
      <c r="F74" t="s">
        <v>273</v>
      </c>
      <c r="H74" s="15">
        <f>=IF(F74="😍 已完成",1,IF(F74="💪🏻 进行中",G74,0))</f>
      </c>
      <c r="I74" t="s">
        <v>262</v>
      </c>
      <c r="L74" t="s">
        <v>303</v>
      </c>
      <c r="M74" t="s">
        <v>193</v>
      </c>
      <c r="N74" s="4">
        <f>=IF(ISBLANK(K74),M74,K74)</f>
      </c>
      <c r="O74" t="s">
        <v>118</v>
      </c>
      <c r="P74" s="15">
        <f>=IF(AND(F74="🥺 搁置选做",D74="选做"),1,H74)</f>
      </c>
      <c r="R74" s="15">
        <f>=H74</f>
      </c>
    </row>
    <row r="75" spans="1:18" ht="39" customHeight="0">
      <c r="A75" t="s">
        <v>270</v>
      </c>
      <c r="B75" t="s">
        <v>270</v>
      </c>
      <c r="C75" s="5" t="s">
        <v>700</v>
      </c>
      <c r="D75" t="s">
        <v>274</v>
      </c>
      <c r="E75" s="5" t="s">
        <v>528</v>
      </c>
      <c r="F75" t="s">
        <v>273</v>
      </c>
      <c r="H75" s="15">
        <f>=IF(F75="😍 已完成",1,IF(F75="💪🏻 进行中",G75,0))</f>
      </c>
      <c r="I75" t="s">
        <v>262</v>
      </c>
      <c r="L75" t="s">
        <v>303</v>
      </c>
      <c r="M75" t="s">
        <v>193</v>
      </c>
      <c r="N75" s="4">
        <f>=IF(ISBLANK(K75),M75,K75)</f>
      </c>
      <c r="O75" t="s">
        <v>118</v>
      </c>
      <c r="P75" s="15">
        <f>=IF(AND(F75="🥺 搁置选做",D75="选做"),1,H75)</f>
      </c>
      <c r="R75" s="15">
        <f>=H75</f>
      </c>
    </row>
    <row r="76" spans="1:18" ht="39" customHeight="0">
      <c r="A76" t="s">
        <v>275</v>
      </c>
      <c r="B76" t="s">
        <v>275</v>
      </c>
      <c r="C76" s="5" t="s">
        <v>702</v>
      </c>
      <c r="D76" t="s">
        <v>274</v>
      </c>
      <c r="E76" s="5" t="s">
        <v>701</v>
      </c>
      <c r="F76" t="s">
        <v>273</v>
      </c>
      <c r="H76" s="15">
        <f>=IF(F76="😍 已完成",1,IF(F76="💪🏻 进行中",G76,0))</f>
      </c>
      <c r="I76" t="s">
        <v>262</v>
      </c>
      <c r="L76" t="s">
        <v>276</v>
      </c>
      <c r="M76" t="s">
        <v>197</v>
      </c>
      <c r="N76" s="4">
        <f>=IF(ISBLANK(K76),M76,K76)</f>
      </c>
      <c r="O76" t="s">
        <v>118</v>
      </c>
      <c r="P76" s="15">
        <f>=IF(AND(F76="🥺 搁置选做",D76="选做"),1,H76)</f>
      </c>
      <c r="R76" s="15">
        <f>=H76</f>
      </c>
    </row>
    <row r="77" spans="1:18" ht="39" customHeight="0">
      <c r="A77" t="s">
        <v>275</v>
      </c>
      <c r="B77" t="s">
        <v>275</v>
      </c>
      <c r="C77" s="5" t="s">
        <v>703</v>
      </c>
      <c r="D77" t="s">
        <v>260</v>
      </c>
      <c r="E77" s="5" t="s">
        <v>528</v>
      </c>
      <c r="F77" t="s">
        <v>19</v>
      </c>
      <c r="H77" s="15">
        <f>=IF(F77="😍 已完成",1,IF(F77="💪🏻 进行中",G77,0))</f>
      </c>
      <c r="I77" t="s">
        <v>262</v>
      </c>
      <c r="L77" t="s">
        <v>276</v>
      </c>
      <c r="M77" t="s">
        <v>197</v>
      </c>
      <c r="N77" s="4">
        <f>=IF(ISBLANK(K77),M77,K77)</f>
      </c>
      <c r="O77" t="s">
        <v>118</v>
      </c>
      <c r="P77" s="15">
        <f>=IF(AND(F77="🥺 搁置选做",D77="选做"),1,H77)</f>
      </c>
      <c r="R77" s="15">
        <f>=H77</f>
      </c>
    </row>
    <row r="78" spans="1:18" ht="39" customHeight="0">
      <c r="A78" t="s">
        <v>275</v>
      </c>
      <c r="B78" t="s">
        <v>275</v>
      </c>
      <c r="C78" s="5" t="s">
        <v>704</v>
      </c>
      <c r="D78" t="s">
        <v>260</v>
      </c>
      <c r="E78" s="5" t="s">
        <v>528</v>
      </c>
      <c r="F78" t="s">
        <v>19</v>
      </c>
      <c r="H78" s="15">
        <f>=IF(F78="😍 已完成",1,IF(F78="💪🏻 进行中",G78,0))</f>
      </c>
      <c r="I78" t="s">
        <v>262</v>
      </c>
      <c r="L78" t="s">
        <v>276</v>
      </c>
      <c r="M78" t="s">
        <v>197</v>
      </c>
      <c r="N78" s="4">
        <f>=IF(ISBLANK(K78),M78,K78)</f>
      </c>
      <c r="O78" t="s">
        <v>118</v>
      </c>
      <c r="P78" s="15">
        <f>=IF(AND(F78="🥺 搁置选做",D78="选做"),1,H78)</f>
      </c>
      <c r="R78" s="15">
        <f>=H78</f>
      </c>
    </row>
    <row r="79" spans="1:18" ht="39" customHeight="0">
      <c r="A79" t="s">
        <v>275</v>
      </c>
      <c r="B79" t="s">
        <v>275</v>
      </c>
      <c r="C79" s="5" t="s">
        <v>705</v>
      </c>
      <c r="D79" t="s">
        <v>260</v>
      </c>
      <c r="E79" s="5" t="s">
        <v>528</v>
      </c>
      <c r="F79" t="s">
        <v>19</v>
      </c>
      <c r="H79" s="15">
        <f>=IF(F79="😍 已完成",1,IF(F79="💪🏻 进行中",G79,0))</f>
      </c>
      <c r="I79" t="s">
        <v>262</v>
      </c>
      <c r="L79" t="s">
        <v>276</v>
      </c>
      <c r="M79" t="s">
        <v>197</v>
      </c>
      <c r="N79" s="4">
        <f>=IF(ISBLANK(K79),M79,K79)</f>
      </c>
      <c r="O79" t="s">
        <v>118</v>
      </c>
      <c r="P79" s="15">
        <f>=IF(AND(F79="🥺 搁置选做",D79="选做"),1,H79)</f>
      </c>
      <c r="R79" s="15">
        <f>=H79</f>
      </c>
    </row>
    <row r="80" spans="1:18" ht="39" customHeight="0">
      <c r="A80" t="s">
        <v>275</v>
      </c>
      <c r="B80" t="s">
        <v>275</v>
      </c>
      <c r="C80" s="5" t="s">
        <v>706</v>
      </c>
      <c r="D80" t="s">
        <v>260</v>
      </c>
      <c r="E80" s="5" t="s">
        <v>528</v>
      </c>
      <c r="F80" t="s">
        <v>19</v>
      </c>
      <c r="H80" s="15">
        <f>=IF(F80="😍 已完成",1,IF(F80="💪🏻 进行中",G80,0))</f>
      </c>
      <c r="I80" t="s">
        <v>262</v>
      </c>
      <c r="L80" t="s">
        <v>276</v>
      </c>
      <c r="M80" t="s">
        <v>197</v>
      </c>
      <c r="N80" s="4">
        <f>=IF(ISBLANK(K80),M80,K80)</f>
      </c>
      <c r="O80" t="s">
        <v>118</v>
      </c>
      <c r="P80" s="15">
        <f>=IF(AND(F80="🥺 搁置选做",D80="选做"),1,H80)</f>
      </c>
      <c r="R80" s="15">
        <f>=H80</f>
      </c>
    </row>
    <row r="81" spans="1:18" ht="39" customHeight="0">
      <c r="A81" t="s">
        <v>275</v>
      </c>
      <c r="B81" t="s">
        <v>275</v>
      </c>
      <c r="C81" s="5" t="s">
        <v>707</v>
      </c>
      <c r="D81" t="s">
        <v>260</v>
      </c>
      <c r="E81" s="5" t="s">
        <v>528</v>
      </c>
      <c r="F81" t="s">
        <v>19</v>
      </c>
      <c r="H81" s="15">
        <f>=IF(F81="😍 已完成",1,IF(F81="💪🏻 进行中",G81,0))</f>
      </c>
      <c r="I81" t="s">
        <v>262</v>
      </c>
      <c r="L81" t="s">
        <v>277</v>
      </c>
      <c r="M81" t="s">
        <v>231</v>
      </c>
      <c r="N81" s="4">
        <f>=IF(ISBLANK(K81),M81,K81)</f>
      </c>
      <c r="O81" t="s">
        <v>118</v>
      </c>
      <c r="P81" s="15">
        <f>=IF(AND(F81="🥺 搁置选做",D81="选做"),1,H81)</f>
      </c>
      <c r="R81" s="15">
        <f>=H81</f>
      </c>
    </row>
    <row r="82" spans="1:18" ht="39" customHeight="0">
      <c r="A82" t="s">
        <v>275</v>
      </c>
      <c r="B82" t="s">
        <v>275</v>
      </c>
      <c r="C82" s="5" t="s">
        <v>708</v>
      </c>
      <c r="D82" t="s">
        <v>260</v>
      </c>
      <c r="E82" s="5" t="s">
        <v>528</v>
      </c>
      <c r="F82" t="s">
        <v>19</v>
      </c>
      <c r="H82" s="15">
        <f>=IF(F82="😍 已完成",1,IF(F82="💪🏻 进行中",G82,0))</f>
      </c>
      <c r="I82" t="s">
        <v>262</v>
      </c>
      <c r="L82" t="s">
        <v>277</v>
      </c>
      <c r="M82" t="s">
        <v>232</v>
      </c>
      <c r="N82" s="4">
        <f>=IF(ISBLANK(K82),M82,K82)</f>
      </c>
      <c r="O82" t="s">
        <v>118</v>
      </c>
      <c r="P82" s="15">
        <f>=IF(AND(F82="🥺 搁置选做",D82="选做"),1,H82)</f>
      </c>
      <c r="R82" s="15">
        <f>=H82</f>
      </c>
    </row>
    <row r="83" spans="1:18" ht="39" customHeight="0">
      <c r="A83" t="s">
        <v>275</v>
      </c>
      <c r="B83" t="s">
        <v>275</v>
      </c>
      <c r="C83" s="5" t="s">
        <v>709</v>
      </c>
      <c r="D83" t="s">
        <v>274</v>
      </c>
      <c r="E83" s="5" t="s">
        <v>528</v>
      </c>
      <c r="F83" t="s">
        <v>273</v>
      </c>
      <c r="H83" s="15">
        <f>=IF(F83="😍 已完成",1,IF(F83="💪🏻 进行中",G83,0))</f>
      </c>
      <c r="I83" t="s">
        <v>262</v>
      </c>
      <c r="L83" t="s">
        <v>277</v>
      </c>
      <c r="M83" t="s">
        <v>231</v>
      </c>
      <c r="N83" s="4">
        <f>=IF(ISBLANK(K83),M83,K83)</f>
      </c>
      <c r="O83" t="s">
        <v>118</v>
      </c>
      <c r="P83" s="15">
        <f>=IF(AND(F83="🥺 搁置选做",D83="选做"),1,H83)</f>
      </c>
      <c r="R83" s="15">
        <f>=H83</f>
      </c>
    </row>
    <row r="84" spans="1:18" ht="39" customHeight="0">
      <c r="A84" t="s">
        <v>275</v>
      </c>
      <c r="B84" t="s">
        <v>275</v>
      </c>
      <c r="C84" s="5" t="s">
        <v>710</v>
      </c>
      <c r="D84" t="s">
        <v>260</v>
      </c>
      <c r="E84" s="5" t="s">
        <v>528</v>
      </c>
      <c r="F84" t="s">
        <v>19</v>
      </c>
      <c r="H84" s="15">
        <f>=IF(F84="😍 已完成",1,IF(F84="💪🏻 进行中",G84,0))</f>
      </c>
      <c r="I84" t="s">
        <v>262</v>
      </c>
      <c r="L84" t="s">
        <v>277</v>
      </c>
      <c r="M84" t="s">
        <v>234</v>
      </c>
      <c r="N84" s="4">
        <f>=IF(ISBLANK(K84),M84,K84)</f>
      </c>
      <c r="O84" t="s">
        <v>118</v>
      </c>
      <c r="P84" s="15">
        <f>=IF(AND(F84="🥺 搁置选做",D84="选做"),1,H84)</f>
      </c>
      <c r="R84" s="15">
        <f>=H84</f>
      </c>
    </row>
    <row r="85" spans="1:18" ht="39" customHeight="0">
      <c r="A85" t="s">
        <v>304</v>
      </c>
      <c r="B85" t="s">
        <v>304</v>
      </c>
      <c r="C85" s="5" t="s">
        <v>637</v>
      </c>
      <c r="D85" t="s">
        <v>260</v>
      </c>
      <c r="E85" s="5" t="s">
        <v>528</v>
      </c>
      <c r="F85" t="s">
        <v>19</v>
      </c>
      <c r="H85" s="15">
        <f>=IF(F85="😍 已完成",1,IF(F85="💪🏻 进行中",G85,0))</f>
      </c>
      <c r="I85" t="s">
        <v>262</v>
      </c>
      <c r="L85" t="s">
        <v>305</v>
      </c>
      <c r="M85" t="s">
        <v>182</v>
      </c>
      <c r="N85" s="4">
        <f>=IF(ISBLANK(K85),M85,K85)</f>
      </c>
      <c r="O85" t="s">
        <v>118</v>
      </c>
      <c r="P85" s="15">
        <f>=IF(AND(F85="🥺 搁置选做",D85="选做"),1,H85)</f>
      </c>
      <c r="R85" s="15">
        <f>=H85</f>
      </c>
    </row>
    <row r="86" spans="1:18" ht="39" customHeight="0">
      <c r="A86" t="s">
        <v>304</v>
      </c>
      <c r="B86" t="s">
        <v>304</v>
      </c>
      <c r="C86" s="5" t="s">
        <v>711</v>
      </c>
      <c r="D86" t="s">
        <v>260</v>
      </c>
      <c r="E86" s="5" t="s">
        <v>528</v>
      </c>
      <c r="F86" t="s">
        <v>19</v>
      </c>
      <c r="H86" s="15">
        <f>=IF(F86="😍 已完成",1,IF(F86="💪🏻 进行中",G86,0))</f>
      </c>
      <c r="I86" t="s">
        <v>262</v>
      </c>
      <c r="L86" t="s">
        <v>305</v>
      </c>
      <c r="M86" t="s">
        <v>182</v>
      </c>
      <c r="N86" s="4">
        <f>=IF(ISBLANK(K86),M86,K86)</f>
      </c>
      <c r="O86" t="s">
        <v>118</v>
      </c>
      <c r="P86" s="15">
        <f>=IF(AND(F86="🥺 搁置选做",D86="选做"),1,H86)</f>
      </c>
      <c r="R86" s="15">
        <f>=H86</f>
      </c>
    </row>
    <row r="87" spans="1:18" ht="39" customHeight="0">
      <c r="A87" t="s">
        <v>304</v>
      </c>
      <c r="B87" t="s">
        <v>304</v>
      </c>
      <c r="C87" s="5" t="s">
        <v>712</v>
      </c>
      <c r="D87" t="s">
        <v>260</v>
      </c>
      <c r="E87" s="5" t="s">
        <v>528</v>
      </c>
      <c r="F87" t="s">
        <v>19</v>
      </c>
      <c r="H87" s="15">
        <f>=IF(F87="😍 已完成",1,IF(F87="💪🏻 进行中",G87,0))</f>
      </c>
      <c r="I87" t="s">
        <v>262</v>
      </c>
      <c r="L87" t="s">
        <v>306</v>
      </c>
      <c r="M87" t="s">
        <v>182</v>
      </c>
      <c r="N87" s="4">
        <f>=IF(ISBLANK(K87),M87,K87)</f>
      </c>
      <c r="O87" t="s">
        <v>118</v>
      </c>
      <c r="P87" s="15">
        <f>=IF(AND(F87="🥺 搁置选做",D87="选做"),1,H87)</f>
      </c>
      <c r="R87" s="15">
        <f>=H87</f>
      </c>
    </row>
    <row r="88" spans="1:18" ht="39" customHeight="0">
      <c r="A88" t="s">
        <v>304</v>
      </c>
      <c r="B88" t="s">
        <v>304</v>
      </c>
      <c r="C88" s="5" t="s">
        <v>713</v>
      </c>
      <c r="D88" t="s">
        <v>260</v>
      </c>
      <c r="E88" s="5" t="s">
        <v>528</v>
      </c>
      <c r="F88" t="s">
        <v>19</v>
      </c>
      <c r="G88" s="15">
        <v>0</v>
      </c>
      <c r="H88" s="15">
        <f>=IF(F88="😍 已完成",1,IF(F88="💪🏻 进行中",G88,0))</f>
      </c>
      <c r="I88" t="s">
        <v>262</v>
      </c>
      <c r="L88" t="s">
        <v>306</v>
      </c>
      <c r="M88" t="s">
        <v>182</v>
      </c>
      <c r="N88" s="4">
        <f>=IF(ISBLANK(K88),M88,K88)</f>
      </c>
      <c r="O88" t="s">
        <v>118</v>
      </c>
      <c r="P88" s="15">
        <f>=IF(AND(F88="🥺 搁置选做",D88="选做"),1,H88)</f>
      </c>
      <c r="R88" s="15">
        <f>=H88</f>
      </c>
    </row>
    <row r="89" spans="1:18" ht="39" customHeight="0">
      <c r="A89" t="s">
        <v>263</v>
      </c>
      <c r="B89" t="s">
        <v>263</v>
      </c>
      <c r="C89" s="5" t="s">
        <v>714</v>
      </c>
      <c r="D89" t="s">
        <v>260</v>
      </c>
      <c r="E89" s="5" t="s">
        <v>528</v>
      </c>
      <c r="F89" t="s">
        <v>19</v>
      </c>
      <c r="H89" s="15">
        <f>=IF(F89="😍 已完成",1,IF(F89="💪🏻 进行中",G89,0))</f>
      </c>
      <c r="I89" t="s">
        <v>262</v>
      </c>
      <c r="L89" t="s">
        <v>296</v>
      </c>
      <c r="M89" t="s">
        <v>180</v>
      </c>
      <c r="N89" s="4">
        <f>=IF(ISBLANK(K89),M89,K89)</f>
      </c>
      <c r="O89" t="s">
        <v>118</v>
      </c>
      <c r="P89" s="15">
        <f>=IF(AND(F89="🥺 搁置选做",D89="选做"),1,H89)</f>
      </c>
      <c r="R89" s="15">
        <f>=H89</f>
      </c>
    </row>
    <row r="90" spans="1:18" ht="39" customHeight="0">
      <c r="A90" t="s">
        <v>263</v>
      </c>
      <c r="B90" t="s">
        <v>263</v>
      </c>
      <c r="C90" s="5" t="s">
        <v>715</v>
      </c>
      <c r="D90" t="s">
        <v>260</v>
      </c>
      <c r="E90" s="5" t="s">
        <v>528</v>
      </c>
      <c r="F90" t="s">
        <v>19</v>
      </c>
      <c r="H90" s="15">
        <f>=IF(F90="😍 已完成",1,IF(F90="💪🏻 进行中",G90,0))</f>
      </c>
      <c r="I90" t="s">
        <v>262</v>
      </c>
      <c r="L90" t="s">
        <v>307</v>
      </c>
      <c r="M90" t="s">
        <v>180</v>
      </c>
      <c r="N90" s="4">
        <f>=IF(ISBLANK(K90),M90,K90)</f>
      </c>
      <c r="O90" t="s">
        <v>118</v>
      </c>
      <c r="P90" s="15">
        <f>=IF(AND(F90="🥺 搁置选做",D90="选做"),1,H90)</f>
      </c>
      <c r="R90" s="15">
        <f>=H90</f>
      </c>
    </row>
    <row r="91" spans="1:18" ht="39" customHeight="0">
      <c r="A91" t="s">
        <v>265</v>
      </c>
      <c r="B91" t="s">
        <v>265</v>
      </c>
      <c r="C91" s="5" t="s">
        <v>716</v>
      </c>
      <c r="D91" t="s">
        <v>260</v>
      </c>
      <c r="E91" s="5" t="s">
        <v>528</v>
      </c>
      <c r="F91" t="s">
        <v>19</v>
      </c>
      <c r="H91" s="15">
        <f>=IF(F91="😍 已完成",1,IF(F91="💪🏻 进行中",G91,0))</f>
      </c>
      <c r="I91" t="s">
        <v>262</v>
      </c>
      <c r="L91" t="s">
        <v>266</v>
      </c>
      <c r="M91" t="s">
        <v>184</v>
      </c>
      <c r="N91" s="4">
        <f>=IF(ISBLANK(K91),M91,K91)</f>
      </c>
      <c r="O91" t="s">
        <v>118</v>
      </c>
      <c r="P91" s="15">
        <f>=IF(AND(F91="🥺 搁置选做",D91="选做"),1,H91)</f>
      </c>
      <c r="R91" s="15">
        <f>=H91</f>
      </c>
    </row>
    <row r="92" spans="1:18" ht="39" customHeight="0">
      <c r="A92" t="s">
        <v>265</v>
      </c>
      <c r="B92" t="s">
        <v>265</v>
      </c>
      <c r="C92" s="5" t="s">
        <v>717</v>
      </c>
      <c r="D92" t="s">
        <v>260</v>
      </c>
      <c r="E92" s="5" t="s">
        <v>528</v>
      </c>
      <c r="F92" t="s">
        <v>19</v>
      </c>
      <c r="H92" s="15">
        <f>=IF(F92="😍 已完成",1,IF(F92="💪🏻 进行中",G92,0))</f>
      </c>
      <c r="I92" t="s">
        <v>262</v>
      </c>
      <c r="L92" t="s">
        <v>308</v>
      </c>
      <c r="M92" t="s">
        <v>186</v>
      </c>
      <c r="N92" s="4">
        <f>=IF(ISBLANK(K92),M92,K92)</f>
      </c>
      <c r="O92" t="s">
        <v>118</v>
      </c>
      <c r="P92" s="15">
        <f>=IF(AND(F92="🥺 搁置选做",D92="选做"),1,H92)</f>
      </c>
      <c r="R92" s="15">
        <f>=H92</f>
      </c>
    </row>
    <row r="93" spans="1:18" ht="39" customHeight="0">
      <c r="A93" t="s">
        <v>265</v>
      </c>
      <c r="B93" t="s">
        <v>265</v>
      </c>
      <c r="C93" s="5" t="s">
        <v>718</v>
      </c>
      <c r="D93" t="s">
        <v>260</v>
      </c>
      <c r="E93" s="5" t="s">
        <v>528</v>
      </c>
      <c r="F93" t="s">
        <v>19</v>
      </c>
      <c r="H93" s="15">
        <f>=IF(F93="😍 已完成",1,IF(F93="💪🏻 进行中",G93,0))</f>
      </c>
      <c r="I93" t="s">
        <v>262</v>
      </c>
      <c r="L93" t="s">
        <v>308</v>
      </c>
      <c r="M93" t="s">
        <v>186</v>
      </c>
      <c r="N93" s="4">
        <f>=IF(ISBLANK(K93),M93,K93)</f>
      </c>
      <c r="O93" t="s">
        <v>118</v>
      </c>
      <c r="P93" s="15">
        <f>=IF(AND(F93="🥺 搁置选做",D93="选做"),1,H93)</f>
      </c>
      <c r="R93" s="15">
        <f>=H93</f>
      </c>
    </row>
    <row r="94" spans="1:18" ht="39" customHeight="0">
      <c r="A94" t="s">
        <v>265</v>
      </c>
      <c r="B94" t="s">
        <v>265</v>
      </c>
      <c r="C94" s="5" t="s">
        <v>719</v>
      </c>
      <c r="D94" t="s">
        <v>260</v>
      </c>
      <c r="E94" s="5" t="s">
        <v>528</v>
      </c>
      <c r="F94" t="s">
        <v>19</v>
      </c>
      <c r="H94" s="15">
        <f>=IF(F94="😍 已完成",1,IF(F94="💪🏻 进行中",G94,0))</f>
      </c>
      <c r="I94" t="s">
        <v>262</v>
      </c>
      <c r="L94" t="s">
        <v>308</v>
      </c>
      <c r="M94" t="s">
        <v>186</v>
      </c>
      <c r="N94" s="4">
        <f>=IF(ISBLANK(K94),M94,K94)</f>
      </c>
      <c r="O94" t="s">
        <v>118</v>
      </c>
      <c r="P94" s="15">
        <f>=IF(AND(F94="🥺 搁置选做",D94="选做"),1,H94)</f>
      </c>
      <c r="R94" s="15">
        <f>=H94</f>
      </c>
    </row>
    <row r="95" spans="1:18" ht="39" customHeight="0">
      <c r="A95" t="s">
        <v>265</v>
      </c>
      <c r="B95" t="s">
        <v>265</v>
      </c>
      <c r="C95" s="5" t="s">
        <v>720</v>
      </c>
      <c r="D95" t="s">
        <v>274</v>
      </c>
      <c r="E95" s="5" t="s">
        <v>528</v>
      </c>
      <c r="F95" t="s">
        <v>273</v>
      </c>
      <c r="H95" s="15">
        <f>=IF(F95="😍 已完成",1,IF(F95="💪🏻 进行中",G95,0))</f>
      </c>
      <c r="I95" t="s">
        <v>262</v>
      </c>
      <c r="L95" t="s">
        <v>308</v>
      </c>
      <c r="M95" t="s">
        <v>186</v>
      </c>
      <c r="N95" s="4">
        <f>=IF(ISBLANK(K95),M95,K95)</f>
      </c>
      <c r="O95" t="s">
        <v>118</v>
      </c>
      <c r="P95" s="15">
        <f>=IF(AND(F95="🥺 搁置选做",D95="选做"),1,H95)</f>
      </c>
      <c r="R95" s="15">
        <f>=H95</f>
      </c>
    </row>
    <row r="96" spans="1:18" ht="39" customHeight="0">
      <c r="A96" t="s">
        <v>265</v>
      </c>
      <c r="B96" t="s">
        <v>265</v>
      </c>
      <c r="C96" s="5" t="s">
        <v>721</v>
      </c>
      <c r="D96" t="s">
        <v>274</v>
      </c>
      <c r="E96" s="5" t="s">
        <v>722</v>
      </c>
      <c r="F96" t="s">
        <v>19</v>
      </c>
      <c r="H96" s="15">
        <f>=IF(F96="😍 已完成",1,IF(F96="💪🏻 进行中",G96,0))</f>
      </c>
      <c r="I96" t="s">
        <v>262</v>
      </c>
      <c r="L96" t="s">
        <v>308</v>
      </c>
      <c r="M96" t="s">
        <v>188</v>
      </c>
      <c r="N96" s="4">
        <f>=IF(ISBLANK(K96),M96,K96)</f>
      </c>
      <c r="O96" t="s">
        <v>118</v>
      </c>
      <c r="P96" s="15">
        <f>=IF(AND(F96="🥺 搁置选做",D96="选做"),1,H96)</f>
      </c>
      <c r="R96" s="15">
        <f>=H96</f>
      </c>
    </row>
    <row r="97" spans="1:18" ht="39" customHeight="0">
      <c r="A97" t="s">
        <v>270</v>
      </c>
      <c r="B97" t="s">
        <v>270</v>
      </c>
      <c r="C97" s="5" t="s">
        <v>723</v>
      </c>
      <c r="D97" t="s">
        <v>274</v>
      </c>
      <c r="E97" s="5" t="s">
        <v>528</v>
      </c>
      <c r="F97" t="s">
        <v>273</v>
      </c>
      <c r="H97" s="15">
        <f>=IF(F97="😍 已完成",1,IF(F97="💪🏻 进行中",G97,0))</f>
      </c>
      <c r="I97" t="s">
        <v>262</v>
      </c>
      <c r="L97" t="s">
        <v>271</v>
      </c>
      <c r="M97" t="s">
        <v>309</v>
      </c>
      <c r="N97" s="4">
        <f>=IF(ISBLANK(K97),M97,K97)</f>
      </c>
      <c r="O97" t="s">
        <v>118</v>
      </c>
      <c r="P97" s="15">
        <f>=IF(AND(F97="🥺 搁置选做",D97="选做"),1,H97)</f>
      </c>
      <c r="R97" s="15">
        <f>=H97</f>
      </c>
    </row>
    <row r="98" spans="1:18" ht="39" customHeight="0">
      <c r="A98" t="s">
        <v>270</v>
      </c>
      <c r="B98" t="s">
        <v>270</v>
      </c>
      <c r="C98" s="5" t="s">
        <v>724</v>
      </c>
      <c r="D98" t="s">
        <v>274</v>
      </c>
      <c r="E98" s="5" t="s">
        <v>528</v>
      </c>
      <c r="F98" t="s">
        <v>273</v>
      </c>
      <c r="H98" s="15">
        <f>=IF(F98="😍 已完成",1,IF(F98="💪🏻 进行中",G98,0))</f>
      </c>
      <c r="I98" t="s">
        <v>262</v>
      </c>
      <c r="L98" t="s">
        <v>303</v>
      </c>
      <c r="M98" t="s">
        <v>193</v>
      </c>
      <c r="N98" s="4">
        <f>=IF(ISBLANK(K98),M98,K98)</f>
      </c>
      <c r="O98" t="s">
        <v>118</v>
      </c>
      <c r="P98" s="15">
        <f>=IF(AND(F98="🥺 搁置选做",D98="选做"),1,H98)</f>
      </c>
      <c r="R98" s="15">
        <f>=H98</f>
      </c>
    </row>
    <row r="99" spans="1:18" ht="39" customHeight="0">
      <c r="A99" t="s">
        <v>270</v>
      </c>
      <c r="B99" t="s">
        <v>270</v>
      </c>
      <c r="C99" s="5" t="s">
        <v>725</v>
      </c>
      <c r="D99" t="s">
        <v>274</v>
      </c>
      <c r="E99" s="5" t="s">
        <v>528</v>
      </c>
      <c r="F99" t="s">
        <v>273</v>
      </c>
      <c r="H99" s="15">
        <f>=IF(F99="😍 已完成",1,IF(F99="💪🏻 进行中",G99,0))</f>
      </c>
      <c r="I99" t="s">
        <v>262</v>
      </c>
      <c r="L99" t="s">
        <v>303</v>
      </c>
      <c r="M99" t="s">
        <v>193</v>
      </c>
      <c r="N99" s="4">
        <f>=IF(ISBLANK(K99),M99,K99)</f>
      </c>
      <c r="O99" t="s">
        <v>118</v>
      </c>
      <c r="P99" s="15">
        <f>=IF(AND(F99="🥺 搁置选做",D99="选做"),1,H99)</f>
      </c>
      <c r="R99" s="15">
        <f>=H99</f>
      </c>
    </row>
    <row r="100" spans="1:18" ht="39" customHeight="0">
      <c r="A100" t="s">
        <v>270</v>
      </c>
      <c r="B100" t="s">
        <v>270</v>
      </c>
      <c r="C100" s="5" t="s">
        <v>726</v>
      </c>
      <c r="D100" t="s">
        <v>260</v>
      </c>
      <c r="E100" s="5" t="s">
        <v>528</v>
      </c>
      <c r="F100" t="s">
        <v>19</v>
      </c>
      <c r="H100" s="15">
        <f>=IF(F100="😍 已完成",1,IF(F100="💪🏻 进行中",G100,0))</f>
      </c>
      <c r="I100" t="s">
        <v>262</v>
      </c>
      <c r="L100" t="s">
        <v>310</v>
      </c>
      <c r="M100" t="s">
        <v>195</v>
      </c>
      <c r="N100" s="4">
        <f>=IF(ISBLANK(K100),M100,K100)</f>
      </c>
      <c r="O100" t="s">
        <v>118</v>
      </c>
      <c r="P100" s="15">
        <f>=IF(AND(F100="🥺 搁置选做",D100="选做"),1,H100)</f>
      </c>
      <c r="R100" s="15">
        <f>=H100</f>
      </c>
    </row>
    <row r="101" spans="1:18" ht="39" customHeight="0">
      <c r="A101" t="s">
        <v>270</v>
      </c>
      <c r="B101" t="s">
        <v>270</v>
      </c>
      <c r="C101" s="5" t="s">
        <v>727</v>
      </c>
      <c r="D101" t="s">
        <v>260</v>
      </c>
      <c r="E101" s="5" t="s">
        <v>528</v>
      </c>
      <c r="F101" t="s">
        <v>19</v>
      </c>
      <c r="H101" s="15">
        <f>=IF(F101="😍 已完成",1,IF(F101="💪🏻 进行中",G101,0))</f>
      </c>
      <c r="I101" t="s">
        <v>262</v>
      </c>
      <c r="L101" t="s">
        <v>310</v>
      </c>
      <c r="M101" t="s">
        <v>195</v>
      </c>
      <c r="N101" s="4">
        <f>=IF(ISBLANK(K101),M101,K101)</f>
      </c>
      <c r="O101" t="s">
        <v>118</v>
      </c>
      <c r="P101" s="15">
        <f>=IF(AND(F101="🥺 搁置选做",D101="选做"),1,H101)</f>
      </c>
      <c r="R101" s="15">
        <f>=H101</f>
      </c>
    </row>
    <row r="102" spans="1:18" ht="39" customHeight="0">
      <c r="A102" t="s">
        <v>270</v>
      </c>
      <c r="B102" t="s">
        <v>270</v>
      </c>
      <c r="C102" s="5" t="s">
        <v>728</v>
      </c>
      <c r="D102" t="s">
        <v>274</v>
      </c>
      <c r="E102" s="5" t="s">
        <v>528</v>
      </c>
      <c r="F102" t="s">
        <v>273</v>
      </c>
      <c r="H102" s="15">
        <f>=IF(F102="😍 已完成",1,IF(F102="💪🏻 进行中",G102,0))</f>
      </c>
      <c r="I102" t="s">
        <v>262</v>
      </c>
      <c r="L102" t="s">
        <v>310</v>
      </c>
      <c r="M102" t="s">
        <v>193</v>
      </c>
      <c r="N102" s="4">
        <f>=IF(ISBLANK(K102),M102,K102)</f>
      </c>
      <c r="O102" t="s">
        <v>118</v>
      </c>
      <c r="P102" s="15">
        <f>=IF(AND(F102="🥺 搁置选做",D102="选做"),1,H102)</f>
      </c>
      <c r="R102" s="15">
        <f>=H102</f>
      </c>
    </row>
    <row r="103" spans="1:18" ht="39" customHeight="0">
      <c r="A103" t="s">
        <v>270</v>
      </c>
      <c r="B103" t="s">
        <v>270</v>
      </c>
      <c r="C103" s="5" t="s">
        <v>729</v>
      </c>
      <c r="D103" t="s">
        <v>274</v>
      </c>
      <c r="E103" s="5" t="s">
        <v>528</v>
      </c>
      <c r="F103" t="s">
        <v>273</v>
      </c>
      <c r="H103" s="15">
        <f>=IF(F103="😍 已完成",1,IF(F103="💪🏻 进行中",G103,0))</f>
      </c>
      <c r="I103" t="s">
        <v>262</v>
      </c>
      <c r="J103" s="5" t="s">
        <v>730</v>
      </c>
      <c r="L103" t="s">
        <v>310</v>
      </c>
      <c r="M103" t="s">
        <v>193</v>
      </c>
      <c r="N103" s="4">
        <f>=IF(ISBLANK(K103),M103,K103)</f>
      </c>
      <c r="O103" t="s">
        <v>118</v>
      </c>
      <c r="P103" s="15">
        <f>=IF(AND(F103="🥺 搁置选做",D103="选做"),1,H103)</f>
      </c>
      <c r="R103" s="15">
        <f>=H103</f>
      </c>
    </row>
    <row r="104" spans="1:18" ht="39" customHeight="0">
      <c r="A104" t="s">
        <v>284</v>
      </c>
      <c r="B104" t="s">
        <v>284</v>
      </c>
      <c r="C104" s="5" t="s">
        <v>731</v>
      </c>
      <c r="D104" t="s">
        <v>260</v>
      </c>
      <c r="E104" s="5" t="s">
        <v>528</v>
      </c>
      <c r="F104" t="s">
        <v>19</v>
      </c>
      <c r="H104" s="15">
        <f>=IF(F104="😍 已完成",1,IF(F104="💪🏻 进行中",G104,0))</f>
      </c>
      <c r="I104" t="s">
        <v>262</v>
      </c>
      <c r="L104" t="s">
        <v>283</v>
      </c>
      <c r="M104" t="s">
        <v>210</v>
      </c>
      <c r="N104" s="4">
        <f>=IF(ISBLANK(K104),M104,K104)</f>
      </c>
      <c r="O104" t="s">
        <v>118</v>
      </c>
      <c r="P104" s="15">
        <f>=IF(AND(F104="🥺 搁置选做",D104="选做"),1,H104)</f>
      </c>
      <c r="R104" s="15">
        <f>=H104</f>
      </c>
    </row>
    <row r="105" spans="1:18" ht="39" customHeight="0">
      <c r="A105" t="s">
        <v>284</v>
      </c>
      <c r="B105" t="s">
        <v>284</v>
      </c>
      <c r="C105" s="5" t="s">
        <v>732</v>
      </c>
      <c r="D105" t="s">
        <v>260</v>
      </c>
      <c r="E105" s="5" t="s">
        <v>528</v>
      </c>
      <c r="F105" t="s">
        <v>19</v>
      </c>
      <c r="H105" s="15">
        <f>=IF(F105="😍 已完成",1,IF(F105="💪🏻 进行中",G105,0))</f>
      </c>
      <c r="I105" t="s">
        <v>262</v>
      </c>
      <c r="L105" t="s">
        <v>311</v>
      </c>
      <c r="M105" t="s">
        <v>211</v>
      </c>
      <c r="N105" s="4">
        <f>=IF(ISBLANK(K105),M105,K105)</f>
      </c>
      <c r="O105" t="s">
        <v>118</v>
      </c>
      <c r="P105" s="15">
        <f>=IF(AND(F105="🥺 搁置选做",D105="选做"),1,H105)</f>
      </c>
      <c r="R105" s="15">
        <f>=H105</f>
      </c>
    </row>
    <row r="106" spans="1:18" ht="39" customHeight="0">
      <c r="A106" t="s">
        <v>284</v>
      </c>
      <c r="B106" t="s">
        <v>284</v>
      </c>
      <c r="C106" s="5" t="s">
        <v>733</v>
      </c>
      <c r="D106" t="s">
        <v>260</v>
      </c>
      <c r="E106" s="5" t="s">
        <v>528</v>
      </c>
      <c r="F106" t="s">
        <v>19</v>
      </c>
      <c r="H106" s="15">
        <f>=IF(F106="😍 已完成",1,IF(F106="💪🏻 进行中",G106,0))</f>
      </c>
      <c r="I106" t="s">
        <v>262</v>
      </c>
      <c r="L106" t="s">
        <v>311</v>
      </c>
      <c r="M106" t="s">
        <v>211</v>
      </c>
      <c r="N106" s="4">
        <f>=IF(ISBLANK(K106),M106,K106)</f>
      </c>
      <c r="O106" t="s">
        <v>118</v>
      </c>
      <c r="P106" s="15">
        <f>=IF(AND(F106="🥺 搁置选做",D106="选做"),1,H106)</f>
      </c>
      <c r="R106" s="15">
        <f>=H106</f>
      </c>
    </row>
    <row r="107" spans="1:18" ht="39" customHeight="0">
      <c r="A107" t="s">
        <v>284</v>
      </c>
      <c r="B107" t="s">
        <v>284</v>
      </c>
      <c r="C107" s="5" t="s">
        <v>734</v>
      </c>
      <c r="D107" t="s">
        <v>260</v>
      </c>
      <c r="E107" s="5" t="s">
        <v>528</v>
      </c>
      <c r="F107" t="s">
        <v>19</v>
      </c>
      <c r="H107" s="15">
        <f>=IF(F107="😍 已完成",1,IF(F107="💪🏻 进行中",G107,0))</f>
      </c>
      <c r="I107" t="s">
        <v>262</v>
      </c>
      <c r="L107" t="s">
        <v>311</v>
      </c>
      <c r="M107" t="s">
        <v>213</v>
      </c>
      <c r="N107" s="4">
        <f>=IF(ISBLANK(K107),M107,K107)</f>
      </c>
      <c r="O107" t="s">
        <v>118</v>
      </c>
      <c r="P107" s="15">
        <f>=IF(AND(F107="🥺 搁置选做",D107="选做"),1,H107)</f>
      </c>
      <c r="R107" s="15">
        <f>=H107</f>
      </c>
    </row>
    <row r="108" spans="1:18" ht="39" customHeight="0">
      <c r="A108" t="s">
        <v>288</v>
      </c>
      <c r="B108" t="s">
        <v>288</v>
      </c>
      <c r="C108" s="5" t="s">
        <v>735</v>
      </c>
      <c r="D108" t="s">
        <v>274</v>
      </c>
      <c r="E108" s="5" t="s">
        <v>528</v>
      </c>
      <c r="F108" t="s">
        <v>273</v>
      </c>
      <c r="H108" s="15">
        <f>=IF(F108="😍 已完成",1,IF(F108="💪🏻 进行中",G108,0))</f>
      </c>
      <c r="I108" t="s">
        <v>262</v>
      </c>
      <c r="L108" t="s">
        <v>313</v>
      </c>
      <c r="M108" t="s">
        <v>312</v>
      </c>
      <c r="N108" s="4">
        <f>=IF(ISBLANK(K108),M108,K108)</f>
      </c>
      <c r="O108" t="s">
        <v>118</v>
      </c>
      <c r="P108" s="15">
        <f>=IF(AND(F108="🥺 搁置选做",D108="选做"),1,H108)</f>
      </c>
      <c r="R108" s="15">
        <f>=H108</f>
      </c>
    </row>
    <row r="109" spans="1:18" ht="39" customHeight="0">
      <c r="A109" t="s">
        <v>288</v>
      </c>
      <c r="B109" t="s">
        <v>288</v>
      </c>
      <c r="C109" s="5" t="s">
        <v>736</v>
      </c>
      <c r="D109" t="s">
        <v>260</v>
      </c>
      <c r="E109" s="5" t="s">
        <v>528</v>
      </c>
      <c r="F109" t="s">
        <v>19</v>
      </c>
      <c r="H109" s="15">
        <f>=IF(F109="😍 已完成",1,IF(F109="💪🏻 进行中",G109,0))</f>
      </c>
      <c r="I109" t="s">
        <v>262</v>
      </c>
      <c r="L109" t="s">
        <v>314</v>
      </c>
      <c r="M109" t="s">
        <v>237</v>
      </c>
      <c r="N109" s="4">
        <f>=IF(ISBLANK(K109),M109,K109)</f>
      </c>
      <c r="O109" t="s">
        <v>118</v>
      </c>
      <c r="P109" s="15">
        <f>=IF(AND(F109="🥺 搁置选做",D109="选做"),1,H109)</f>
      </c>
      <c r="R109" s="15">
        <f>=H109</f>
      </c>
    </row>
    <row r="110" spans="1:18" ht="39" customHeight="0">
      <c r="A110" t="s">
        <v>288</v>
      </c>
      <c r="B110" t="s">
        <v>288</v>
      </c>
      <c r="C110" s="5" t="s">
        <v>737</v>
      </c>
      <c r="D110" t="s">
        <v>260</v>
      </c>
      <c r="E110" s="5" t="s">
        <v>528</v>
      </c>
      <c r="F110" t="s">
        <v>19</v>
      </c>
      <c r="H110" s="15">
        <f>=IF(F110="😍 已完成",1,IF(F110="💪🏻 进行中",G110,0))</f>
      </c>
      <c r="I110" t="s">
        <v>262</v>
      </c>
      <c r="L110" t="s">
        <v>314</v>
      </c>
      <c r="M110" t="s">
        <v>237</v>
      </c>
      <c r="N110" s="4">
        <f>=IF(ISBLANK(K110),M110,K110)</f>
      </c>
      <c r="O110" t="s">
        <v>118</v>
      </c>
      <c r="P110" s="15">
        <f>=IF(AND(F110="🥺 搁置选做",D110="选做"),1,H110)</f>
      </c>
      <c r="R110" s="15">
        <f>=H110</f>
      </c>
    </row>
    <row r="111" spans="1:18" ht="39" customHeight="0">
      <c r="A111" t="s">
        <v>288</v>
      </c>
      <c r="B111" t="s">
        <v>288</v>
      </c>
      <c r="C111" s="5" t="s">
        <v>738</v>
      </c>
      <c r="D111" t="s">
        <v>260</v>
      </c>
      <c r="E111" s="5" t="s">
        <v>528</v>
      </c>
      <c r="F111" t="s">
        <v>19</v>
      </c>
      <c r="H111" s="15">
        <f>=IF(F111="😍 已完成",1,IF(F111="💪🏻 进行中",G111,0))</f>
      </c>
      <c r="I111" t="s">
        <v>262</v>
      </c>
      <c r="L111" t="s">
        <v>314</v>
      </c>
      <c r="M111" t="s">
        <v>237</v>
      </c>
      <c r="N111" s="4">
        <f>=IF(ISBLANK(K111),M111,K111)</f>
      </c>
      <c r="O111" t="s">
        <v>118</v>
      </c>
      <c r="P111" s="15">
        <f>=IF(AND(F111="🥺 搁置选做",D111="选做"),1,H111)</f>
      </c>
      <c r="R111" s="15">
        <f>=H111</f>
      </c>
    </row>
    <row r="112" spans="1:18" ht="39" customHeight="0">
      <c r="A112" t="s">
        <v>288</v>
      </c>
      <c r="B112" t="s">
        <v>288</v>
      </c>
      <c r="C112" s="5" t="s">
        <v>739</v>
      </c>
      <c r="D112" t="s">
        <v>274</v>
      </c>
      <c r="E112" s="5" t="s">
        <v>528</v>
      </c>
      <c r="F112" t="s">
        <v>273</v>
      </c>
      <c r="H112" s="15">
        <f>=IF(F112="😍 已完成",1,IF(F112="💪🏻 进行中",G112,0))</f>
      </c>
      <c r="I112" t="s">
        <v>262</v>
      </c>
      <c r="L112" t="s">
        <v>316</v>
      </c>
      <c r="M112" t="s">
        <v>315</v>
      </c>
      <c r="N112" s="4">
        <f>=IF(ISBLANK(K112),M112,K112)</f>
      </c>
      <c r="O112" t="s">
        <v>118</v>
      </c>
      <c r="P112" s="15">
        <f>=IF(AND(F112="🥺 搁置选做",D112="选做"),1,H112)</f>
      </c>
      <c r="R112" s="15">
        <f>=H112</f>
      </c>
    </row>
    <row r="113" spans="1:18" ht="39" customHeight="0">
      <c r="A113" t="s">
        <v>288</v>
      </c>
      <c r="B113" t="s">
        <v>288</v>
      </c>
      <c r="C113" s="5" t="s">
        <v>740</v>
      </c>
      <c r="D113" t="s">
        <v>260</v>
      </c>
      <c r="E113" s="5" t="s">
        <v>528</v>
      </c>
      <c r="F113" t="s">
        <v>19</v>
      </c>
      <c r="H113" s="15">
        <f>=IF(F113="😍 已完成",1,IF(F113="💪🏻 进行中",G113,0))</f>
      </c>
      <c r="I113" t="s">
        <v>262</v>
      </c>
      <c r="L113" t="s">
        <v>317</v>
      </c>
      <c r="M113" t="s">
        <v>238</v>
      </c>
      <c r="N113" s="4">
        <f>=IF(ISBLANK(K113),M113,K113)</f>
      </c>
      <c r="O113" t="s">
        <v>118</v>
      </c>
      <c r="P113" s="15">
        <f>=IF(AND(F113="🥺 搁置选做",D113="选做"),1,H113)</f>
      </c>
      <c r="R113" s="15">
        <f>=H113</f>
      </c>
    </row>
    <row r="114" spans="1:18" ht="39" customHeight="0">
      <c r="A114" t="s">
        <v>288</v>
      </c>
      <c r="B114" t="s">
        <v>288</v>
      </c>
      <c r="C114" s="5" t="s">
        <v>741</v>
      </c>
      <c r="D114" t="s">
        <v>260</v>
      </c>
      <c r="E114" s="5" t="s">
        <v>528</v>
      </c>
      <c r="F114" t="s">
        <v>19</v>
      </c>
      <c r="H114" s="15">
        <f>=IF(F114="😍 已完成",1,IF(F114="💪🏻 进行中",G114,0))</f>
      </c>
      <c r="I114" t="s">
        <v>262</v>
      </c>
      <c r="L114" t="s">
        <v>317</v>
      </c>
      <c r="M114" t="s">
        <v>238</v>
      </c>
      <c r="N114" s="4">
        <f>=IF(ISBLANK(K114),M114,K114)</f>
      </c>
      <c r="O114" t="s">
        <v>118</v>
      </c>
      <c r="P114" s="15">
        <f>=IF(AND(F114="🥺 搁置选做",D114="选做"),1,H114)</f>
      </c>
      <c r="R114" s="15">
        <f>=H114</f>
      </c>
    </row>
    <row r="115" spans="1:18" ht="39" customHeight="0">
      <c r="A115" t="s">
        <v>288</v>
      </c>
      <c r="B115" t="s">
        <v>288</v>
      </c>
      <c r="C115" s="5" t="s">
        <v>742</v>
      </c>
      <c r="D115" t="s">
        <v>274</v>
      </c>
      <c r="E115" s="5" t="s">
        <v>528</v>
      </c>
      <c r="F115" t="s">
        <v>19</v>
      </c>
      <c r="H115" s="15">
        <f>=IF(F115="😍 已完成",1,IF(F115="💪🏻 进行中",G115,0))</f>
      </c>
      <c r="I115" t="s">
        <v>262</v>
      </c>
      <c r="L115" t="s">
        <v>317</v>
      </c>
      <c r="M115" t="s">
        <v>312</v>
      </c>
      <c r="N115" s="4">
        <f>=IF(ISBLANK(K115),M115,K115)</f>
      </c>
      <c r="O115" t="s">
        <v>118</v>
      </c>
      <c r="P115" s="15">
        <f>=IF(AND(F115="🥺 搁置选做",D115="选做"),1,H115)</f>
      </c>
      <c r="R115" s="15">
        <f>=H115</f>
      </c>
    </row>
    <row r="116" spans="1:18" ht="39" customHeight="0">
      <c r="A116" t="s">
        <v>288</v>
      </c>
      <c r="B116" t="s">
        <v>288</v>
      </c>
      <c r="C116" s="5" t="s">
        <v>743</v>
      </c>
      <c r="D116" t="s">
        <v>260</v>
      </c>
      <c r="E116" s="5" t="s">
        <v>528</v>
      </c>
      <c r="F116" t="s">
        <v>19</v>
      </c>
      <c r="H116" s="15">
        <f>=IF(F116="😍 已完成",1,IF(F116="💪🏻 进行中",G116,0))</f>
      </c>
      <c r="I116" t="s">
        <v>262</v>
      </c>
      <c r="L116" t="s">
        <v>317</v>
      </c>
      <c r="M116" t="s">
        <v>238</v>
      </c>
      <c r="N116" s="4">
        <f>=IF(ISBLANK(K116),M116,K116)</f>
      </c>
      <c r="O116" t="s">
        <v>118</v>
      </c>
      <c r="P116" s="15">
        <f>=IF(AND(F116="🥺 搁置选做",D116="选做"),1,H116)</f>
      </c>
      <c r="R116" s="15">
        <f>=H116</f>
      </c>
    </row>
    <row r="117" spans="1:18" ht="39" customHeight="0">
      <c r="A117" t="s">
        <v>288</v>
      </c>
      <c r="B117" t="s">
        <v>288</v>
      </c>
      <c r="C117" s="5" t="s">
        <v>744</v>
      </c>
      <c r="D117" t="s">
        <v>260</v>
      </c>
      <c r="E117" s="5" t="s">
        <v>528</v>
      </c>
      <c r="F117" t="s">
        <v>19</v>
      </c>
      <c r="H117" s="15">
        <f>=IF(F117="😍 已完成",1,IF(F117="💪🏻 进行中",G117,0))</f>
      </c>
      <c r="I117" t="s">
        <v>262</v>
      </c>
      <c r="L117" t="s">
        <v>317</v>
      </c>
      <c r="M117" t="s">
        <v>238</v>
      </c>
      <c r="N117" s="4">
        <f>=IF(ISBLANK(K117),M117,K117)</f>
      </c>
      <c r="O117" t="s">
        <v>118</v>
      </c>
      <c r="P117" s="15">
        <f>=IF(AND(F117="🥺 搁置选做",D117="选做"),1,H117)</f>
      </c>
      <c r="R117" s="15">
        <f>=H117</f>
      </c>
    </row>
    <row r="118" spans="1:18" ht="39" customHeight="0">
      <c r="A118" t="s">
        <v>284</v>
      </c>
      <c r="B118" t="s">
        <v>284</v>
      </c>
      <c r="C118" s="5" t="s">
        <v>745</v>
      </c>
      <c r="D118" t="s">
        <v>260</v>
      </c>
      <c r="E118" s="5" t="s">
        <v>528</v>
      </c>
      <c r="F118" t="s">
        <v>19</v>
      </c>
      <c r="H118" s="15">
        <f>=IF(F118="😍 已完成",1,IF(F118="💪🏻 进行中",G118,0))</f>
      </c>
      <c r="I118" t="s">
        <v>262</v>
      </c>
      <c r="L118" t="s">
        <v>287</v>
      </c>
      <c r="M118" t="s">
        <v>286</v>
      </c>
      <c r="N118" s="4">
        <f>=IF(ISBLANK(K118),M118,K118)</f>
      </c>
      <c r="O118" t="s">
        <v>118</v>
      </c>
      <c r="P118" s="15">
        <f>=IF(AND(F118="🥺 搁置选做",D118="选做"),1,H118)</f>
      </c>
      <c r="R118" s="15">
        <f>=H118</f>
      </c>
    </row>
    <row r="119" spans="1:18" ht="39" customHeight="0">
      <c r="A119" t="s">
        <v>284</v>
      </c>
      <c r="B119" t="s">
        <v>284</v>
      </c>
      <c r="C119" s="5" t="s">
        <v>746</v>
      </c>
      <c r="D119" t="s">
        <v>260</v>
      </c>
      <c r="E119" s="5" t="s">
        <v>528</v>
      </c>
      <c r="F119" t="s">
        <v>19</v>
      </c>
      <c r="H119" s="15">
        <f>=IF(F119="😍 已完成",1,IF(F119="💪🏻 进行中",G119,0))</f>
      </c>
      <c r="I119" t="s">
        <v>262</v>
      </c>
      <c r="L119" t="s">
        <v>287</v>
      </c>
      <c r="M119" t="s">
        <v>216</v>
      </c>
      <c r="N119" s="4">
        <f>=IF(ISBLANK(K119),M119,K119)</f>
      </c>
      <c r="O119" t="s">
        <v>118</v>
      </c>
      <c r="P119" s="15">
        <f>=IF(AND(F119="🥺 搁置选做",D119="选做"),1,H119)</f>
      </c>
      <c r="R119" s="15">
        <f>=H119</f>
      </c>
    </row>
    <row r="120" spans="1:18" ht="39" customHeight="0">
      <c r="A120" t="s">
        <v>284</v>
      </c>
      <c r="B120" t="s">
        <v>284</v>
      </c>
      <c r="C120" s="5" t="s">
        <v>747</v>
      </c>
      <c r="D120" t="s">
        <v>260</v>
      </c>
      <c r="E120" s="5" t="s">
        <v>528</v>
      </c>
      <c r="F120" t="s">
        <v>19</v>
      </c>
      <c r="H120" s="15">
        <f>=IF(F120="😍 已完成",1,IF(F120="💪🏻 进行中",G120,0))</f>
      </c>
      <c r="I120" t="s">
        <v>262</v>
      </c>
      <c r="L120" t="s">
        <v>287</v>
      </c>
      <c r="M120" t="s">
        <v>216</v>
      </c>
      <c r="N120" s="4">
        <f>=IF(ISBLANK(K120),M120,K120)</f>
      </c>
      <c r="O120" t="s">
        <v>118</v>
      </c>
      <c r="P120" s="15">
        <f>=IF(AND(F120="🥺 搁置选做",D120="选做"),1,H120)</f>
      </c>
      <c r="R120" s="15">
        <f>=H120</f>
      </c>
    </row>
    <row r="121" spans="1:18" ht="39" customHeight="0">
      <c r="A121" t="s">
        <v>284</v>
      </c>
      <c r="B121" t="s">
        <v>284</v>
      </c>
      <c r="C121" s="5" t="s">
        <v>748</v>
      </c>
      <c r="D121" t="s">
        <v>260</v>
      </c>
      <c r="E121" s="5" t="s">
        <v>528</v>
      </c>
      <c r="F121" t="s">
        <v>19</v>
      </c>
      <c r="H121" s="15">
        <f>=IF(F121="😍 已完成",1,IF(F121="💪🏻 进行中",G121,0))</f>
      </c>
      <c r="I121" t="s">
        <v>262</v>
      </c>
      <c r="L121" t="s">
        <v>287</v>
      </c>
      <c r="M121" t="s">
        <v>217</v>
      </c>
      <c r="N121" s="4">
        <f>=IF(ISBLANK(K121),M121,K121)</f>
      </c>
      <c r="O121" t="s">
        <v>118</v>
      </c>
      <c r="P121" s="15">
        <f>=IF(AND(F121="🥺 搁置选做",D121="选做"),1,H121)</f>
      </c>
      <c r="R121" s="15">
        <f>=H121</f>
      </c>
    </row>
    <row r="122" spans="1:18" ht="39" customHeight="0">
      <c r="A122" t="s">
        <v>284</v>
      </c>
      <c r="B122" t="s">
        <v>284</v>
      </c>
      <c r="C122" s="5" t="s">
        <v>749</v>
      </c>
      <c r="D122" t="s">
        <v>260</v>
      </c>
      <c r="E122" s="5" t="s">
        <v>528</v>
      </c>
      <c r="F122" t="s">
        <v>19</v>
      </c>
      <c r="H122" s="15">
        <f>=IF(F122="😍 已完成",1,IF(F122="💪🏻 进行中",G122,0))</f>
      </c>
      <c r="I122" t="s">
        <v>262</v>
      </c>
      <c r="L122" t="s">
        <v>287</v>
      </c>
      <c r="M122" t="s">
        <v>217</v>
      </c>
      <c r="N122" s="4">
        <f>=IF(ISBLANK(K122),M122,K122)</f>
      </c>
      <c r="O122" t="s">
        <v>118</v>
      </c>
      <c r="P122" s="15">
        <f>=IF(AND(F122="🥺 搁置选做",D122="选做"),1,H122)</f>
      </c>
      <c r="R122" s="15">
        <f>=H122</f>
      </c>
    </row>
    <row r="123" spans="1:18" ht="39" customHeight="0">
      <c r="A123" t="s">
        <v>284</v>
      </c>
      <c r="B123" t="s">
        <v>284</v>
      </c>
      <c r="C123" s="5" t="s">
        <v>750</v>
      </c>
      <c r="D123" t="s">
        <v>260</v>
      </c>
      <c r="E123" s="5" t="s">
        <v>528</v>
      </c>
      <c r="F123" t="s">
        <v>19</v>
      </c>
      <c r="H123" s="15">
        <f>=IF(F123="😍 已完成",1,IF(F123="💪🏻 进行中",G123,0))</f>
      </c>
      <c r="I123" t="s">
        <v>262</v>
      </c>
      <c r="L123" t="s">
        <v>287</v>
      </c>
      <c r="M123" t="s">
        <v>217</v>
      </c>
      <c r="N123" s="4">
        <f>=IF(ISBLANK(K123),M123,K123)</f>
      </c>
      <c r="O123" t="s">
        <v>118</v>
      </c>
      <c r="P123" s="15">
        <f>=IF(AND(F123="🥺 搁置选做",D123="选做"),1,H123)</f>
      </c>
      <c r="R123" s="15">
        <f>=H123</f>
      </c>
    </row>
    <row r="124" spans="1:18" ht="39" customHeight="0">
      <c r="A124" t="s">
        <v>284</v>
      </c>
      <c r="B124" t="s">
        <v>284</v>
      </c>
      <c r="C124" s="5" t="s">
        <v>751</v>
      </c>
      <c r="D124" t="s">
        <v>260</v>
      </c>
      <c r="E124" s="5" t="s">
        <v>528</v>
      </c>
      <c r="F124" t="s">
        <v>19</v>
      </c>
      <c r="H124" s="15">
        <f>=IF(F124="😍 已完成",1,IF(F124="💪🏻 进行中",G124,0))</f>
      </c>
      <c r="I124" t="s">
        <v>262</v>
      </c>
      <c r="L124" t="s">
        <v>287</v>
      </c>
      <c r="M124" t="s">
        <v>217</v>
      </c>
      <c r="N124" s="4">
        <f>=IF(ISBLANK(K124),M124,K124)</f>
      </c>
      <c r="O124" t="s">
        <v>118</v>
      </c>
      <c r="P124" s="15">
        <f>=IF(AND(F124="🥺 搁置选做",D124="选做"),1,H124)</f>
      </c>
      <c r="R124" s="15">
        <f>=H124</f>
      </c>
    </row>
    <row r="125" spans="1:18" ht="39" customHeight="0">
      <c r="A125" t="s">
        <v>284</v>
      </c>
      <c r="B125" t="s">
        <v>284</v>
      </c>
      <c r="C125" s="5" t="s">
        <v>752</v>
      </c>
      <c r="D125" t="s">
        <v>260</v>
      </c>
      <c r="E125" s="5" t="s">
        <v>528</v>
      </c>
      <c r="F125" t="s">
        <v>19</v>
      </c>
      <c r="H125" s="15">
        <f>=IF(F125="😍 已完成",1,IF(F125="💪🏻 进行中",G125,0))</f>
      </c>
      <c r="I125" t="s">
        <v>262</v>
      </c>
      <c r="L125" t="s">
        <v>287</v>
      </c>
      <c r="M125" t="s">
        <v>234</v>
      </c>
      <c r="N125" s="4">
        <f>=IF(ISBLANK(K125),M125,K125)</f>
      </c>
      <c r="O125" t="s">
        <v>118</v>
      </c>
      <c r="P125" s="15">
        <f>=IF(AND(F125="🥺 搁置选做",D125="选做"),1,H125)</f>
      </c>
      <c r="R125" s="15">
        <f>=H125</f>
      </c>
    </row>
    <row r="126" spans="1:18" ht="39" customHeight="0">
      <c r="A126" t="s">
        <v>284</v>
      </c>
      <c r="B126" t="s">
        <v>284</v>
      </c>
      <c r="C126" s="5" t="s">
        <v>753</v>
      </c>
      <c r="D126" t="s">
        <v>274</v>
      </c>
      <c r="E126" s="5" t="s">
        <v>528</v>
      </c>
      <c r="F126" t="s">
        <v>273</v>
      </c>
      <c r="H126" s="15">
        <f>=IF(F126="😍 已完成",1,IF(F126="💪🏻 进行中",G126,0))</f>
      </c>
      <c r="I126" t="s">
        <v>262</v>
      </c>
      <c r="L126" t="s">
        <v>287</v>
      </c>
      <c r="M126" t="s">
        <v>234</v>
      </c>
      <c r="N126" s="4">
        <f>=IF(ISBLANK(K126),M126,K126)</f>
      </c>
      <c r="O126" t="s">
        <v>118</v>
      </c>
      <c r="P126" s="15">
        <f>=IF(AND(F126="🥺 搁置选做",D126="选做"),1,H126)</f>
      </c>
      <c r="R126" s="15">
        <f>=H126</f>
      </c>
    </row>
    <row r="127" spans="1:18" ht="39" customHeight="0">
      <c r="A127" t="s">
        <v>284</v>
      </c>
      <c r="B127" t="s">
        <v>284</v>
      </c>
      <c r="C127" s="5" t="s">
        <v>754</v>
      </c>
      <c r="D127" t="s">
        <v>260</v>
      </c>
      <c r="E127" s="5" t="s">
        <v>528</v>
      </c>
      <c r="F127" t="s">
        <v>19</v>
      </c>
      <c r="H127" s="15">
        <f>=IF(F127="😍 已完成",1,IF(F127="💪🏻 进行中",G127,0))</f>
      </c>
      <c r="I127" t="s">
        <v>262</v>
      </c>
      <c r="L127" t="s">
        <v>318</v>
      </c>
      <c r="M127" t="s">
        <v>220</v>
      </c>
      <c r="N127" s="4">
        <f>=IF(ISBLANK(K127),M127,K127)</f>
      </c>
      <c r="O127" t="s">
        <v>118</v>
      </c>
      <c r="P127" s="15">
        <f>=IF(AND(F127="🥺 搁置选做",D127="选做"),1,H127)</f>
      </c>
      <c r="R127" s="15">
        <f>=H127</f>
      </c>
    </row>
    <row r="128" spans="1:18" ht="39" customHeight="0">
      <c r="A128" t="s">
        <v>284</v>
      </c>
      <c r="B128" t="s">
        <v>284</v>
      </c>
      <c r="C128" s="5" t="s">
        <v>755</v>
      </c>
      <c r="D128" t="s">
        <v>260</v>
      </c>
      <c r="E128" s="5" t="s">
        <v>528</v>
      </c>
      <c r="F128" t="s">
        <v>19</v>
      </c>
      <c r="H128" s="15">
        <f>=IF(F128="😍 已完成",1,IF(F128="💪🏻 进行中",G128,0))</f>
      </c>
      <c r="I128" t="s">
        <v>262</v>
      </c>
      <c r="L128" t="s">
        <v>318</v>
      </c>
      <c r="M128" t="s">
        <v>220</v>
      </c>
      <c r="N128" s="4">
        <f>=IF(ISBLANK(K128),M128,K128)</f>
      </c>
      <c r="O128" t="s">
        <v>118</v>
      </c>
      <c r="P128" s="15">
        <f>=IF(AND(F128="🥺 搁置选做",D128="选做"),1,H128)</f>
      </c>
      <c r="R128" s="15">
        <f>=H128</f>
      </c>
    </row>
    <row r="129" spans="1:18" ht="39" customHeight="0">
      <c r="A129" t="s">
        <v>284</v>
      </c>
      <c r="B129" t="s">
        <v>284</v>
      </c>
      <c r="C129" s="5" t="s">
        <v>756</v>
      </c>
      <c r="D129" t="s">
        <v>260</v>
      </c>
      <c r="E129" s="5" t="s">
        <v>528</v>
      </c>
      <c r="F129" t="s">
        <v>19</v>
      </c>
      <c r="H129" s="15">
        <f>=IF(F129="😍 已完成",1,IF(F129="💪🏻 进行中",G129,0))</f>
      </c>
      <c r="I129" t="s">
        <v>262</v>
      </c>
      <c r="L129" t="s">
        <v>318</v>
      </c>
      <c r="M129" t="s">
        <v>220</v>
      </c>
      <c r="N129" s="4">
        <f>=IF(ISBLANK(K129),M129,K129)</f>
      </c>
      <c r="O129" t="s">
        <v>118</v>
      </c>
      <c r="P129" s="15">
        <f>=IF(AND(F129="🥺 搁置选做",D129="选做"),1,H129)</f>
      </c>
      <c r="R129" s="15">
        <f>=H129</f>
      </c>
    </row>
    <row r="130" spans="1:18" ht="39" customHeight="0">
      <c r="A130" t="s">
        <v>284</v>
      </c>
      <c r="B130" t="s">
        <v>284</v>
      </c>
      <c r="C130" s="5" t="s">
        <v>757</v>
      </c>
      <c r="D130" t="s">
        <v>260</v>
      </c>
      <c r="E130" s="5" t="s">
        <v>528</v>
      </c>
      <c r="F130" t="s">
        <v>19</v>
      </c>
      <c r="H130" s="15">
        <f>=IF(F130="😍 已完成",1,IF(F130="💪🏻 进行中",G130,0))</f>
      </c>
      <c r="I130" t="s">
        <v>262</v>
      </c>
      <c r="L130" t="s">
        <v>318</v>
      </c>
      <c r="M130" t="s">
        <v>220</v>
      </c>
      <c r="N130" s="4">
        <f>=IF(ISBLANK(K130),M130,K130)</f>
      </c>
      <c r="O130" t="s">
        <v>118</v>
      </c>
      <c r="P130" s="15">
        <f>=IF(AND(F130="🥺 搁置选做",D130="选做"),1,H130)</f>
      </c>
      <c r="R130" s="15">
        <f>=H130</f>
      </c>
    </row>
    <row r="131" spans="1:18" ht="39" customHeight="0">
      <c r="A131" t="s">
        <v>284</v>
      </c>
      <c r="B131" t="s">
        <v>284</v>
      </c>
      <c r="C131" s="5" t="s">
        <v>758</v>
      </c>
      <c r="D131" t="s">
        <v>260</v>
      </c>
      <c r="E131" s="5" t="s">
        <v>528</v>
      </c>
      <c r="F131" t="s">
        <v>19</v>
      </c>
      <c r="H131" s="15">
        <f>=IF(F131="😍 已完成",1,IF(F131="💪🏻 进行中",G131,0))</f>
      </c>
      <c r="I131" t="s">
        <v>262</v>
      </c>
      <c r="L131" t="s">
        <v>318</v>
      </c>
      <c r="M131" t="s">
        <v>221</v>
      </c>
      <c r="N131" s="4">
        <f>=IF(ISBLANK(K131),M131,K131)</f>
      </c>
      <c r="O131" t="s">
        <v>118</v>
      </c>
      <c r="P131" s="15">
        <f>=IF(AND(F131="🥺 搁置选做",D131="选做"),1,H131)</f>
      </c>
      <c r="R131" s="15">
        <f>=H131</f>
      </c>
    </row>
    <row r="132" spans="1:18" ht="39" customHeight="0">
      <c r="A132" t="s">
        <v>284</v>
      </c>
      <c r="B132" t="s">
        <v>284</v>
      </c>
      <c r="C132" s="5" t="s">
        <v>759</v>
      </c>
      <c r="D132" t="s">
        <v>260</v>
      </c>
      <c r="E132" s="5" t="s">
        <v>528</v>
      </c>
      <c r="F132" t="s">
        <v>19</v>
      </c>
      <c r="H132" s="15">
        <f>=IF(F132="😍 已完成",1,IF(F132="💪🏻 进行中",G132,0))</f>
      </c>
      <c r="I132" t="s">
        <v>262</v>
      </c>
      <c r="L132" t="s">
        <v>318</v>
      </c>
      <c r="M132" t="s">
        <v>233</v>
      </c>
      <c r="N132" s="4">
        <f>=IF(ISBLANK(K132),M132,K132)</f>
      </c>
      <c r="O132" t="s">
        <v>118</v>
      </c>
      <c r="P132" s="15">
        <f>=IF(AND(F132="🥺 搁置选做",D132="选做"),1,H132)</f>
      </c>
      <c r="R132" s="15">
        <f>=H132</f>
      </c>
    </row>
    <row r="133" spans="1:18" ht="39" customHeight="0">
      <c r="A133" t="s">
        <v>284</v>
      </c>
      <c r="B133" t="s">
        <v>284</v>
      </c>
      <c r="C133" s="5" t="s">
        <v>760</v>
      </c>
      <c r="D133" t="s">
        <v>260</v>
      </c>
      <c r="E133" s="5" t="s">
        <v>528</v>
      </c>
      <c r="F133" t="s">
        <v>19</v>
      </c>
      <c r="H133" s="15">
        <f>=IF(F133="😍 已完成",1,IF(F133="💪🏻 进行中",G133,0))</f>
      </c>
      <c r="I133" t="s">
        <v>262</v>
      </c>
      <c r="L133" t="s">
        <v>318</v>
      </c>
      <c r="M133" t="s">
        <v>221</v>
      </c>
      <c r="N133" s="4">
        <f>=IF(ISBLANK(K133),M133,K133)</f>
      </c>
      <c r="O133" t="s">
        <v>118</v>
      </c>
      <c r="P133" s="15">
        <f>=IF(AND(F133="🥺 搁置选做",D133="选做"),1,H133)</f>
      </c>
      <c r="R133" s="15">
        <f>=H133</f>
      </c>
    </row>
    <row r="134" spans="1:18" ht="39" customHeight="0">
      <c r="A134" t="s">
        <v>284</v>
      </c>
      <c r="B134" t="s">
        <v>284</v>
      </c>
      <c r="C134" s="5" t="s">
        <v>761</v>
      </c>
      <c r="D134" t="s">
        <v>260</v>
      </c>
      <c r="E134" s="5" t="s">
        <v>528</v>
      </c>
      <c r="F134" t="s">
        <v>19</v>
      </c>
      <c r="H134" s="15">
        <f>=IF(F134="😍 已完成",1,IF(F134="💪🏻 进行中",G134,0))</f>
      </c>
      <c r="I134" t="s">
        <v>262</v>
      </c>
      <c r="L134" t="s">
        <v>318</v>
      </c>
      <c r="M134" t="s">
        <v>222</v>
      </c>
      <c r="N134" s="4">
        <f>=IF(ISBLANK(K134),M134,K134)</f>
      </c>
      <c r="O134" t="s">
        <v>118</v>
      </c>
      <c r="P134" s="15">
        <f>=IF(AND(F134="🥺 搁置选做",D134="选做"),1,H134)</f>
      </c>
      <c r="R134" s="15">
        <f>=H134</f>
      </c>
    </row>
    <row r="135" spans="1:18" ht="39" customHeight="0">
      <c r="A135" t="s">
        <v>284</v>
      </c>
      <c r="B135" t="s">
        <v>284</v>
      </c>
      <c r="C135" s="5" t="s">
        <v>762</v>
      </c>
      <c r="D135" t="s">
        <v>260</v>
      </c>
      <c r="E135" s="5" t="s">
        <v>528</v>
      </c>
      <c r="F135" t="s">
        <v>19</v>
      </c>
      <c r="H135" s="15">
        <f>=IF(F135="😍 已完成",1,IF(F135="💪🏻 进行中",G135,0))</f>
      </c>
      <c r="I135" t="s">
        <v>262</v>
      </c>
      <c r="L135" t="s">
        <v>318</v>
      </c>
      <c r="M135" t="s">
        <v>222</v>
      </c>
      <c r="N135" s="4">
        <f>=IF(ISBLANK(K135),M135,K135)</f>
      </c>
      <c r="O135" t="s">
        <v>118</v>
      </c>
      <c r="P135" s="15">
        <f>=IF(AND(F135="🥺 搁置选做",D135="选做"),1,H135)</f>
      </c>
      <c r="R135" s="15">
        <f>=H135</f>
      </c>
    </row>
    <row r="136" spans="1:18" ht="39" customHeight="0">
      <c r="A136" t="s">
        <v>284</v>
      </c>
      <c r="B136" t="s">
        <v>284</v>
      </c>
      <c r="C136" s="5" t="s">
        <v>763</v>
      </c>
      <c r="D136" t="s">
        <v>260</v>
      </c>
      <c r="E136" s="5" t="s">
        <v>528</v>
      </c>
      <c r="F136" t="s">
        <v>19</v>
      </c>
      <c r="H136" s="15">
        <f>=IF(F136="😍 已完成",1,IF(F136="💪🏻 进行中",G136,0))</f>
      </c>
      <c r="I136" t="s">
        <v>262</v>
      </c>
      <c r="L136" t="s">
        <v>318</v>
      </c>
      <c r="M136" t="s">
        <v>222</v>
      </c>
      <c r="N136" s="4">
        <f>=IF(ISBLANK(K136),M136,K136)</f>
      </c>
      <c r="O136" t="s">
        <v>118</v>
      </c>
      <c r="P136" s="15">
        <f>=IF(AND(F136="🥺 搁置选做",D136="选做"),1,H136)</f>
      </c>
      <c r="R136" s="15">
        <f>=H136</f>
      </c>
    </row>
    <row r="137" spans="1:18" ht="39" customHeight="0">
      <c r="A137" t="s">
        <v>284</v>
      </c>
      <c r="B137" t="s">
        <v>284</v>
      </c>
      <c r="C137" s="5" t="s">
        <v>764</v>
      </c>
      <c r="D137" t="s">
        <v>260</v>
      </c>
      <c r="E137" s="5" t="s">
        <v>528</v>
      </c>
      <c r="F137" t="s">
        <v>19</v>
      </c>
      <c r="H137" s="15">
        <f>=IF(F137="😍 已完成",1,IF(F137="💪🏻 进行中",G137,0))</f>
      </c>
      <c r="I137" t="s">
        <v>262</v>
      </c>
      <c r="L137" t="s">
        <v>318</v>
      </c>
      <c r="M137" t="s">
        <v>225</v>
      </c>
      <c r="N137" s="4">
        <f>=IF(ISBLANK(K137),M137,K137)</f>
      </c>
      <c r="O137" t="s">
        <v>118</v>
      </c>
      <c r="P137" s="15">
        <f>=IF(AND(F137="🥺 搁置选做",D137="选做"),1,H137)</f>
      </c>
      <c r="R137" s="15">
        <f>=H137</f>
      </c>
    </row>
    <row r="138" spans="1:18" ht="39" customHeight="0">
      <c r="A138" t="s">
        <v>284</v>
      </c>
      <c r="B138" t="s">
        <v>284</v>
      </c>
      <c r="C138" s="5" t="s">
        <v>765</v>
      </c>
      <c r="D138" t="s">
        <v>260</v>
      </c>
      <c r="E138" s="5" t="s">
        <v>528</v>
      </c>
      <c r="F138" t="s">
        <v>19</v>
      </c>
      <c r="H138" s="15">
        <f>=IF(F138="😍 已完成",1,IF(F138="💪🏻 进行中",G138,0))</f>
      </c>
      <c r="I138" t="s">
        <v>262</v>
      </c>
      <c r="L138" t="s">
        <v>318</v>
      </c>
      <c r="M138" t="s">
        <v>225</v>
      </c>
      <c r="N138" s="4">
        <f>=IF(ISBLANK(K138),M138,K138)</f>
      </c>
      <c r="O138" t="s">
        <v>118</v>
      </c>
      <c r="P138" s="15">
        <f>=IF(AND(F138="🥺 搁置选做",D138="选做"),1,H138)</f>
      </c>
      <c r="R138" s="15">
        <f>=H138</f>
      </c>
    </row>
    <row r="139" spans="1:18" ht="39" customHeight="0">
      <c r="A139" t="s">
        <v>284</v>
      </c>
      <c r="B139" t="s">
        <v>284</v>
      </c>
      <c r="C139" s="5" t="s">
        <v>766</v>
      </c>
      <c r="D139" t="s">
        <v>260</v>
      </c>
      <c r="E139" s="5" t="s">
        <v>528</v>
      </c>
      <c r="F139" t="s">
        <v>19</v>
      </c>
      <c r="H139" s="15">
        <f>=IF(F139="😍 已完成",1,IF(F139="💪🏻 进行中",G139,0))</f>
      </c>
      <c r="I139" t="s">
        <v>262</v>
      </c>
      <c r="L139" t="s">
        <v>319</v>
      </c>
      <c r="M139" t="s">
        <v>249</v>
      </c>
      <c r="N139" s="4">
        <f>=IF(ISBLANK(K139),M139,K139)</f>
      </c>
      <c r="O139" t="s">
        <v>118</v>
      </c>
      <c r="P139" s="15">
        <f>=IF(AND(F139="🥺 搁置选做",D139="选做"),1,H139)</f>
      </c>
      <c r="R139" s="15">
        <f>=H139</f>
      </c>
    </row>
    <row r="140" spans="1:18" ht="39" customHeight="0">
      <c r="A140" t="s">
        <v>284</v>
      </c>
      <c r="B140" t="s">
        <v>284</v>
      </c>
      <c r="C140" s="5" t="s">
        <v>767</v>
      </c>
      <c r="D140" t="s">
        <v>260</v>
      </c>
      <c r="E140" s="5" t="s">
        <v>528</v>
      </c>
      <c r="F140" t="s">
        <v>19</v>
      </c>
      <c r="H140" s="15">
        <f>=IF(F140="😍 已完成",1,IF(F140="💪🏻 进行中",G140,0))</f>
      </c>
      <c r="I140" t="s">
        <v>262</v>
      </c>
      <c r="L140" t="s">
        <v>319</v>
      </c>
      <c r="M140" t="s">
        <v>249</v>
      </c>
      <c r="N140" s="4">
        <f>=IF(ISBLANK(K140),M140,K140)</f>
      </c>
      <c r="O140" t="s">
        <v>118</v>
      </c>
      <c r="P140" s="15">
        <f>=IF(AND(F140="🥺 搁置选做",D140="选做"),1,H140)</f>
      </c>
      <c r="R140" s="15">
        <f>=H140</f>
      </c>
    </row>
    <row r="141" spans="1:18" ht="39" customHeight="0">
      <c r="A141" t="s">
        <v>284</v>
      </c>
      <c r="B141" t="s">
        <v>284</v>
      </c>
      <c r="C141" s="5" t="s">
        <v>768</v>
      </c>
      <c r="D141" t="s">
        <v>260</v>
      </c>
      <c r="E141" s="5" t="s">
        <v>528</v>
      </c>
      <c r="F141" t="s">
        <v>19</v>
      </c>
      <c r="H141" s="15">
        <f>=IF(F141="😍 已完成",1,IF(F141="💪🏻 进行中",G141,0))</f>
      </c>
      <c r="I141" t="s">
        <v>262</v>
      </c>
      <c r="L141" t="s">
        <v>319</v>
      </c>
      <c r="M141" t="s">
        <v>249</v>
      </c>
      <c r="N141" s="4">
        <f>=IF(ISBLANK(K141),M141,K141)</f>
      </c>
      <c r="O141" t="s">
        <v>118</v>
      </c>
      <c r="P141" s="15">
        <f>=IF(AND(F141="🥺 搁置选做",D141="选做"),1,H141)</f>
      </c>
      <c r="R141" s="15">
        <f>=H141</f>
      </c>
    </row>
    <row r="142" spans="1:18" ht="39" customHeight="0">
      <c r="A142" t="s">
        <v>284</v>
      </c>
      <c r="B142" t="s">
        <v>284</v>
      </c>
      <c r="C142" s="5" t="s">
        <v>769</v>
      </c>
      <c r="D142" t="s">
        <v>260</v>
      </c>
      <c r="E142" s="5" t="s">
        <v>528</v>
      </c>
      <c r="F142" t="s">
        <v>19</v>
      </c>
      <c r="H142" s="15">
        <f>=IF(F142="😍 已完成",1,IF(F142="💪🏻 进行中",G142,0))</f>
      </c>
      <c r="I142" t="s">
        <v>262</v>
      </c>
      <c r="L142" t="s">
        <v>319</v>
      </c>
      <c r="M142" t="s">
        <v>249</v>
      </c>
      <c r="N142" s="4">
        <f>=IF(ISBLANK(K142),M142,K142)</f>
      </c>
      <c r="O142" t="s">
        <v>118</v>
      </c>
      <c r="P142" s="15">
        <f>=IF(AND(F142="🥺 搁置选做",D142="选做"),1,H142)</f>
      </c>
      <c r="R142" s="15">
        <f>=H142</f>
      </c>
    </row>
    <row r="143" spans="1:18" ht="39" customHeight="0">
      <c r="A143" t="s">
        <v>284</v>
      </c>
      <c r="B143" t="s">
        <v>284</v>
      </c>
      <c r="C143" s="5" t="s">
        <v>770</v>
      </c>
      <c r="D143" t="s">
        <v>260</v>
      </c>
      <c r="E143" s="5" t="s">
        <v>528</v>
      </c>
      <c r="F143" t="s">
        <v>24</v>
      </c>
      <c r="H143" s="15">
        <f>=IF(F143="😍 已完成",1,IF(F143="💪🏻 进行中",G143,0))</f>
      </c>
      <c r="I143" t="s">
        <v>262</v>
      </c>
      <c r="L143" t="s">
        <v>319</v>
      </c>
      <c r="M143" t="s">
        <v>15</v>
      </c>
      <c r="N143" s="4">
        <f>=IF(ISBLANK(K143),M143,K143)</f>
      </c>
      <c r="O143" t="s">
        <v>118</v>
      </c>
      <c r="P143" s="15">
        <f>=IF(AND(F143="🥺 搁置选做",D143="选做"),1,H143)</f>
      </c>
      <c r="R143" s="15">
        <f>=H143</f>
      </c>
    </row>
    <row r="144" spans="1:18" ht="39" customHeight="0">
      <c r="A144" t="s">
        <v>284</v>
      </c>
      <c r="B144" t="s">
        <v>284</v>
      </c>
      <c r="C144" s="5" t="s">
        <v>771</v>
      </c>
      <c r="D144" t="s">
        <v>260</v>
      </c>
      <c r="E144" s="5" t="s">
        <v>528</v>
      </c>
      <c r="F144" t="s">
        <v>24</v>
      </c>
      <c r="H144" s="15">
        <f>=IF(F144="😍 已完成",1,IF(F144="💪🏻 进行中",G144,0))</f>
      </c>
      <c r="I144" t="s">
        <v>262</v>
      </c>
      <c r="L144" t="s">
        <v>319</v>
      </c>
      <c r="M144" t="s">
        <v>15</v>
      </c>
      <c r="N144" s="4">
        <f>=IF(ISBLANK(K144),M144,K144)</f>
      </c>
      <c r="O144" t="s">
        <v>118</v>
      </c>
      <c r="P144" s="15">
        <f>=IF(AND(F144="🥺 搁置选做",D144="选做"),1,H144)</f>
      </c>
      <c r="R144" s="15">
        <f>=H144</f>
      </c>
    </row>
    <row r="145" spans="1:18" ht="39" customHeight="0">
      <c r="A145" t="s">
        <v>284</v>
      </c>
      <c r="B145" t="s">
        <v>284</v>
      </c>
      <c r="C145" s="5" t="s">
        <v>772</v>
      </c>
      <c r="D145" t="s">
        <v>260</v>
      </c>
      <c r="E145" s="5" t="s">
        <v>528</v>
      </c>
      <c r="F145" t="s">
        <v>24</v>
      </c>
      <c r="H145" s="15">
        <f>=IF(F145="😍 已完成",1,IF(F145="💪🏻 进行中",G145,0))</f>
      </c>
      <c r="I145" t="s">
        <v>262</v>
      </c>
      <c r="L145" t="s">
        <v>319</v>
      </c>
      <c r="M145" t="s">
        <v>15</v>
      </c>
      <c r="N145" s="4">
        <f>=IF(ISBLANK(K145),M145,K145)</f>
      </c>
      <c r="O145" t="s">
        <v>118</v>
      </c>
      <c r="P145" s="15">
        <f>=IF(AND(F145="🥺 搁置选做",D145="选做"),1,H145)</f>
      </c>
      <c r="R145" s="15">
        <f>=H145</f>
      </c>
    </row>
    <row r="146" spans="1:18" ht="39" customHeight="0">
      <c r="A146" t="s">
        <v>284</v>
      </c>
      <c r="B146" t="s">
        <v>284</v>
      </c>
      <c r="C146" s="5" t="s">
        <v>773</v>
      </c>
      <c r="D146" t="s">
        <v>260</v>
      </c>
      <c r="E146" s="5" t="s">
        <v>528</v>
      </c>
      <c r="F146" t="s">
        <v>24</v>
      </c>
      <c r="H146" s="15">
        <f>=IF(F146="😍 已完成",1,IF(F146="💪🏻 进行中",G146,0))</f>
      </c>
      <c r="I146" t="s">
        <v>262</v>
      </c>
      <c r="L146" t="s">
        <v>319</v>
      </c>
      <c r="M146" t="s">
        <v>15</v>
      </c>
      <c r="N146" s="4">
        <f>=IF(ISBLANK(K146),M146,K146)</f>
      </c>
      <c r="O146" t="s">
        <v>118</v>
      </c>
      <c r="P146" s="15">
        <f>=IF(AND(F146="🥺 搁置选做",D146="选做"),1,H146)</f>
      </c>
      <c r="R146" s="15">
        <f>=H146</f>
      </c>
    </row>
    <row r="147" spans="1:18" ht="39" customHeight="0">
      <c r="A147" t="s">
        <v>284</v>
      </c>
      <c r="B147" t="s">
        <v>284</v>
      </c>
      <c r="C147" s="5" t="s">
        <v>774</v>
      </c>
      <c r="D147" t="s">
        <v>260</v>
      </c>
      <c r="E147" s="5" t="s">
        <v>528</v>
      </c>
      <c r="F147" t="s">
        <v>24</v>
      </c>
      <c r="H147" s="15">
        <f>=IF(F147="😍 已完成",1,IF(F147="💪🏻 进行中",G147,0))</f>
      </c>
      <c r="I147" t="s">
        <v>262</v>
      </c>
      <c r="L147" t="s">
        <v>319</v>
      </c>
      <c r="M147" t="s">
        <v>15</v>
      </c>
      <c r="N147" s="4">
        <f>=IF(ISBLANK(K147),M147,K147)</f>
      </c>
      <c r="O147" t="s">
        <v>118</v>
      </c>
      <c r="P147" s="15">
        <f>=IF(AND(F147="🥺 搁置选做",D147="选做"),1,H147)</f>
      </c>
      <c r="R147" s="15">
        <f>=H147</f>
      </c>
    </row>
    <row r="148" spans="1:18" ht="39" customHeight="0">
      <c r="A148" t="s">
        <v>284</v>
      </c>
      <c r="B148" t="s">
        <v>284</v>
      </c>
      <c r="C148" s="5" t="s">
        <v>775</v>
      </c>
      <c r="D148" t="s">
        <v>260</v>
      </c>
      <c r="E148" s="5" t="s">
        <v>528</v>
      </c>
      <c r="F148" t="s">
        <v>24</v>
      </c>
      <c r="H148" s="15">
        <f>=IF(F148="😍 已完成",1,IF(F148="💪🏻 进行中",G148,0))</f>
      </c>
      <c r="I148" t="s">
        <v>262</v>
      </c>
      <c r="L148" t="s">
        <v>319</v>
      </c>
      <c r="M148" t="s">
        <v>15</v>
      </c>
      <c r="N148" s="4">
        <f>=IF(ISBLANK(K148),M148,K148)</f>
      </c>
      <c r="O148" t="s">
        <v>118</v>
      </c>
      <c r="P148" s="15">
        <f>=IF(AND(F148="🥺 搁置选做",D148="选做"),1,H148)</f>
      </c>
      <c r="R148" s="15">
        <f>=H148</f>
      </c>
    </row>
    <row r="149" spans="1:18" ht="39" customHeight="0">
      <c r="A149" t="s">
        <v>284</v>
      </c>
      <c r="B149" t="s">
        <v>284</v>
      </c>
      <c r="C149" s="5" t="s">
        <v>776</v>
      </c>
      <c r="D149" t="s">
        <v>260</v>
      </c>
      <c r="E149" s="5" t="s">
        <v>528</v>
      </c>
      <c r="F149" t="s">
        <v>24</v>
      </c>
      <c r="H149" s="15">
        <f>=IF(F149="😍 已完成",1,IF(F149="💪🏻 进行中",G149,0))</f>
      </c>
      <c r="I149" t="s">
        <v>262</v>
      </c>
      <c r="L149" t="s">
        <v>319</v>
      </c>
      <c r="M149" t="s">
        <v>15</v>
      </c>
      <c r="N149" s="4">
        <f>=IF(ISBLANK(K149),M149,K149)</f>
      </c>
      <c r="O149" t="s">
        <v>118</v>
      </c>
      <c r="P149" s="15">
        <f>=IF(AND(F149="🥺 搁置选做",D149="选做"),1,H149)</f>
      </c>
      <c r="R149" s="15">
        <f>=H149</f>
      </c>
    </row>
    <row r="150" spans="1:18" ht="39" customHeight="0">
      <c r="A150" t="s">
        <v>284</v>
      </c>
      <c r="B150" t="s">
        <v>284</v>
      </c>
      <c r="C150" s="5" t="s">
        <v>777</v>
      </c>
      <c r="D150" t="s">
        <v>260</v>
      </c>
      <c r="E150" s="5" t="s">
        <v>528</v>
      </c>
      <c r="F150" t="s">
        <v>24</v>
      </c>
      <c r="H150" s="15">
        <f>=IF(F150="😍 已完成",1,IF(F150="💪🏻 进行中",G150,0))</f>
      </c>
      <c r="I150" t="s">
        <v>262</v>
      </c>
      <c r="L150" t="s">
        <v>320</v>
      </c>
      <c r="M150" t="s">
        <v>15</v>
      </c>
      <c r="N150" s="4">
        <f>=IF(ISBLANK(K150),M150,K150)</f>
      </c>
      <c r="O150" t="s">
        <v>118</v>
      </c>
      <c r="P150" s="15">
        <f>=IF(AND(F150="🥺 搁置选做",D150="选做"),1,H150)</f>
      </c>
      <c r="R150" s="15">
        <f>=H150</f>
      </c>
    </row>
    <row r="151" spans="1:18" ht="39" customHeight="0">
      <c r="A151" t="s">
        <v>288</v>
      </c>
      <c r="B151" t="s">
        <v>288</v>
      </c>
      <c r="C151" s="5" t="s">
        <v>778</v>
      </c>
      <c r="D151" t="s">
        <v>260</v>
      </c>
      <c r="E151" s="5" t="s">
        <v>528</v>
      </c>
      <c r="F151" t="s">
        <v>19</v>
      </c>
      <c r="H151" s="15">
        <f>=IF(F151="😍 已完成",1,IF(F151="💪🏻 进行中",G151,0))</f>
      </c>
      <c r="I151" t="s">
        <v>262</v>
      </c>
      <c r="L151" t="s">
        <v>317</v>
      </c>
      <c r="M151" t="s">
        <v>238</v>
      </c>
      <c r="N151" s="4">
        <f>=IF(ISBLANK(K151),M151,K151)</f>
      </c>
      <c r="O151" t="s">
        <v>118</v>
      </c>
      <c r="P151" s="15">
        <f>=IF(AND(F151="🥺 搁置选做",D151="选做"),1,H151)</f>
      </c>
      <c r="R151" s="15">
        <f>=H151</f>
      </c>
    </row>
    <row r="152" spans="1:18" ht="39" customHeight="0">
      <c r="A152" t="s">
        <v>288</v>
      </c>
      <c r="B152" t="s">
        <v>288</v>
      </c>
      <c r="C152" s="5" t="s">
        <v>779</v>
      </c>
      <c r="D152" t="s">
        <v>260</v>
      </c>
      <c r="E152" s="5" t="s">
        <v>528</v>
      </c>
      <c r="F152" t="s">
        <v>19</v>
      </c>
      <c r="H152" s="15">
        <f>=IF(F152="😍 已完成",1,IF(F152="💪🏻 进行中",G152,0))</f>
      </c>
      <c r="I152" t="s">
        <v>262</v>
      </c>
      <c r="L152" t="s">
        <v>317</v>
      </c>
      <c r="M152" t="s">
        <v>240</v>
      </c>
      <c r="N152" s="4">
        <f>=IF(ISBLANK(K152),M152,K152)</f>
      </c>
      <c r="O152" t="s">
        <v>118</v>
      </c>
      <c r="P152" s="15">
        <f>=IF(AND(F152="🥺 搁置选做",D152="选做"),1,H152)</f>
      </c>
      <c r="R152" s="15">
        <f>=H152</f>
      </c>
    </row>
    <row r="153" spans="1:18" ht="39" customHeight="0">
      <c r="A153" t="s">
        <v>288</v>
      </c>
      <c r="B153" t="s">
        <v>288</v>
      </c>
      <c r="C153" s="5" t="s">
        <v>780</v>
      </c>
      <c r="D153" t="s">
        <v>260</v>
      </c>
      <c r="E153" s="5" t="s">
        <v>528</v>
      </c>
      <c r="F153" t="s">
        <v>19</v>
      </c>
      <c r="H153" s="15">
        <f>=IF(F153="😍 已完成",1,IF(F153="💪🏻 进行中",G153,0))</f>
      </c>
      <c r="I153" t="s">
        <v>262</v>
      </c>
      <c r="L153" t="s">
        <v>317</v>
      </c>
      <c r="M153" t="s">
        <v>240</v>
      </c>
      <c r="N153" s="4">
        <f>=IF(ISBLANK(K153),M153,K153)</f>
      </c>
      <c r="O153" t="s">
        <v>118</v>
      </c>
      <c r="P153" s="15">
        <f>=IF(AND(F153="🥺 搁置选做",D153="选做"),1,H153)</f>
      </c>
      <c r="R153" s="15">
        <f>=H153</f>
      </c>
    </row>
    <row r="154" spans="1:18" ht="39" customHeight="0">
      <c r="A154" t="s">
        <v>288</v>
      </c>
      <c r="B154" t="s">
        <v>288</v>
      </c>
      <c r="C154" s="5" t="s">
        <v>781</v>
      </c>
      <c r="D154" t="s">
        <v>260</v>
      </c>
      <c r="E154" s="5" t="s">
        <v>528</v>
      </c>
      <c r="F154" t="s">
        <v>19</v>
      </c>
      <c r="H154" s="15">
        <f>=IF(F154="😍 已完成",1,IF(F154="💪🏻 进行中",G154,0))</f>
      </c>
      <c r="I154" t="s">
        <v>262</v>
      </c>
      <c r="L154" t="s">
        <v>317</v>
      </c>
      <c r="M154" t="s">
        <v>240</v>
      </c>
      <c r="N154" s="4">
        <f>=IF(ISBLANK(K154),M154,K154)</f>
      </c>
      <c r="O154" t="s">
        <v>118</v>
      </c>
      <c r="P154" s="15">
        <f>=IF(AND(F154="🥺 搁置选做",D154="选做"),1,H154)</f>
      </c>
      <c r="R154" s="15">
        <f>=H154</f>
      </c>
    </row>
    <row r="155" spans="1:18" ht="39" customHeight="0">
      <c r="A155" t="s">
        <v>288</v>
      </c>
      <c r="B155" t="s">
        <v>288</v>
      </c>
      <c r="C155" s="5" t="s">
        <v>782</v>
      </c>
      <c r="D155" t="s">
        <v>260</v>
      </c>
      <c r="E155" s="5" t="s">
        <v>528</v>
      </c>
      <c r="F155" t="s">
        <v>19</v>
      </c>
      <c r="H155" s="15">
        <f>=IF(F155="😍 已完成",1,IF(F155="💪🏻 进行中",G155,0))</f>
      </c>
      <c r="I155" t="s">
        <v>262</v>
      </c>
      <c r="L155" t="s">
        <v>317</v>
      </c>
      <c r="M155" t="s">
        <v>240</v>
      </c>
      <c r="N155" s="4">
        <f>=IF(ISBLANK(K155),M155,K155)</f>
      </c>
      <c r="O155" t="s">
        <v>118</v>
      </c>
      <c r="P155" s="15">
        <f>=IF(AND(F155="🥺 搁置选做",D155="选做"),1,H155)</f>
      </c>
      <c r="R155" s="15">
        <f>=H155</f>
      </c>
    </row>
    <row r="156" spans="1:18" ht="39" customHeight="0">
      <c r="A156" t="s">
        <v>288</v>
      </c>
      <c r="B156" t="s">
        <v>288</v>
      </c>
      <c r="C156" s="5" t="s">
        <v>783</v>
      </c>
      <c r="D156" t="s">
        <v>260</v>
      </c>
      <c r="E156" s="5" t="s">
        <v>528</v>
      </c>
      <c r="F156" t="s">
        <v>19</v>
      </c>
      <c r="H156" s="15">
        <f>=IF(F156="😍 已完成",1,IF(F156="💪🏻 进行中",G156,0))</f>
      </c>
      <c r="I156" t="s">
        <v>262</v>
      </c>
      <c r="L156" t="s">
        <v>317</v>
      </c>
      <c r="M156" t="s">
        <v>312</v>
      </c>
      <c r="N156" s="4">
        <f>=IF(ISBLANK(K156),M156,K156)</f>
      </c>
      <c r="O156" t="s">
        <v>118</v>
      </c>
      <c r="P156" s="15">
        <f>=IF(AND(F156="🥺 搁置选做",D156="选做"),1,H156)</f>
      </c>
      <c r="R156" s="15">
        <f>=H156</f>
      </c>
    </row>
    <row r="157" spans="1:18" ht="39" customHeight="0">
      <c r="A157" t="s">
        <v>288</v>
      </c>
      <c r="B157" t="s">
        <v>288</v>
      </c>
      <c r="C157" s="5" t="s">
        <v>784</v>
      </c>
      <c r="D157" t="s">
        <v>260</v>
      </c>
      <c r="E157" s="5" t="s">
        <v>528</v>
      </c>
      <c r="F157" t="s">
        <v>19</v>
      </c>
      <c r="H157" s="15">
        <f>=IF(F157="😍 已完成",1,IF(F157="💪🏻 进行中",G157,0))</f>
      </c>
      <c r="I157" t="s">
        <v>262</v>
      </c>
      <c r="L157" t="s">
        <v>317</v>
      </c>
      <c r="M157" t="s">
        <v>246</v>
      </c>
      <c r="N157" s="4">
        <f>=IF(ISBLANK(K157),M157,K157)</f>
      </c>
      <c r="O157" t="s">
        <v>118</v>
      </c>
      <c r="P157" s="15">
        <f>=IF(AND(F157="🥺 搁置选做",D157="选做"),1,H157)</f>
      </c>
      <c r="R157" s="15">
        <f>=H157</f>
      </c>
    </row>
    <row r="158" spans="1:18" ht="39" customHeight="0">
      <c r="A158" t="s">
        <v>288</v>
      </c>
      <c r="B158" t="s">
        <v>288</v>
      </c>
      <c r="C158" s="5" t="s">
        <v>785</v>
      </c>
      <c r="D158" t="s">
        <v>260</v>
      </c>
      <c r="E158" s="5" t="s">
        <v>528</v>
      </c>
      <c r="F158" t="s">
        <v>19</v>
      </c>
      <c r="H158" s="15">
        <f>=IF(F158="😍 已完成",1,IF(F158="💪🏻 进行中",G158,0))</f>
      </c>
      <c r="I158" t="s">
        <v>262</v>
      </c>
      <c r="L158" t="s">
        <v>317</v>
      </c>
      <c r="M158" t="s">
        <v>312</v>
      </c>
      <c r="N158" s="4">
        <f>=IF(ISBLANK(K158),M158,K158)</f>
      </c>
      <c r="O158" t="s">
        <v>118</v>
      </c>
      <c r="P158" s="15">
        <f>=IF(AND(F158="🥺 搁置选做",D158="选做"),1,H158)</f>
      </c>
      <c r="R158" s="15">
        <f>=H158</f>
      </c>
    </row>
    <row r="159" spans="1:18" ht="39" customHeight="0">
      <c r="A159" t="s">
        <v>288</v>
      </c>
      <c r="B159" t="s">
        <v>288</v>
      </c>
      <c r="C159" s="5" t="s">
        <v>786</v>
      </c>
      <c r="D159" t="s">
        <v>260</v>
      </c>
      <c r="E159" s="5" t="s">
        <v>528</v>
      </c>
      <c r="F159" t="s">
        <v>19</v>
      </c>
      <c r="H159" s="15">
        <f>=IF(F159="😍 已完成",1,IF(F159="💪🏻 进行中",G159,0))</f>
      </c>
      <c r="I159" t="s">
        <v>262</v>
      </c>
      <c r="L159" t="s">
        <v>317</v>
      </c>
      <c r="M159" t="s">
        <v>245</v>
      </c>
      <c r="N159" s="4">
        <f>=IF(ISBLANK(K159),M159,K159)</f>
      </c>
      <c r="O159" t="s">
        <v>118</v>
      </c>
      <c r="P159" s="15">
        <f>=IF(AND(F159="🥺 搁置选做",D159="选做"),1,H159)</f>
      </c>
      <c r="R159" s="15">
        <f>=H159</f>
      </c>
    </row>
    <row r="160" spans="1:18" ht="39" customHeight="0">
      <c r="A160" t="s">
        <v>288</v>
      </c>
      <c r="B160" t="s">
        <v>288</v>
      </c>
      <c r="C160" s="5" t="s">
        <v>787</v>
      </c>
      <c r="D160" t="s">
        <v>260</v>
      </c>
      <c r="E160" s="5" t="s">
        <v>528</v>
      </c>
      <c r="F160" t="s">
        <v>19</v>
      </c>
      <c r="H160" s="15">
        <f>=IF(F160="😍 已完成",1,IF(F160="💪🏻 进行中",G160,0))</f>
      </c>
      <c r="I160" t="s">
        <v>262</v>
      </c>
      <c r="L160" t="s">
        <v>321</v>
      </c>
      <c r="M160" t="s">
        <v>246</v>
      </c>
      <c r="N160" s="4">
        <f>=IF(ISBLANK(K160),M160,K160)</f>
      </c>
      <c r="O160" t="s">
        <v>118</v>
      </c>
      <c r="P160" s="15">
        <f>=IF(AND(F160="🥺 搁置选做",D160="选做"),1,H160)</f>
      </c>
      <c r="R160" s="15">
        <f>=H160</f>
      </c>
    </row>
    <row r="161" spans="1:18" ht="39" customHeight="0">
      <c r="A161" t="s">
        <v>288</v>
      </c>
      <c r="B161" t="s">
        <v>288</v>
      </c>
      <c r="C161" s="5" t="s">
        <v>788</v>
      </c>
      <c r="D161" t="s">
        <v>260</v>
      </c>
      <c r="E161" s="5" t="s">
        <v>528</v>
      </c>
      <c r="F161" t="s">
        <v>19</v>
      </c>
      <c r="H161" s="15">
        <f>=IF(F161="😍 已完成",1,IF(F161="💪🏻 进行中",G161,0))</f>
      </c>
      <c r="I161" t="s">
        <v>262</v>
      </c>
      <c r="L161" t="s">
        <v>321</v>
      </c>
      <c r="M161" t="s">
        <v>246</v>
      </c>
      <c r="N161" s="4">
        <f>=IF(ISBLANK(K161),M161,K161)</f>
      </c>
      <c r="O161" t="s">
        <v>118</v>
      </c>
      <c r="P161" s="15">
        <f>=IF(AND(F161="🥺 搁置选做",D161="选做"),1,H161)</f>
      </c>
      <c r="R161" s="15">
        <f>=H161</f>
      </c>
    </row>
    <row r="162" spans="1:18" ht="39" customHeight="0">
      <c r="A162" t="s">
        <v>293</v>
      </c>
      <c r="B162" t="s">
        <v>293</v>
      </c>
      <c r="C162" s="5" t="s">
        <v>789</v>
      </c>
      <c r="D162" t="s">
        <v>260</v>
      </c>
      <c r="E162" s="5" t="s">
        <v>528</v>
      </c>
      <c r="F162" t="s">
        <v>24</v>
      </c>
      <c r="H162" s="15">
        <f>=IF(F162="😍 已完成",1,IF(F162="💪🏻 进行中",G162,0))</f>
      </c>
      <c r="I162" t="s">
        <v>262</v>
      </c>
      <c r="L162" t="s">
        <v>294</v>
      </c>
      <c r="M162" t="s">
        <v>15</v>
      </c>
      <c r="N162" s="4">
        <f>=IF(ISBLANK(K162),M162,K162)</f>
      </c>
      <c r="O162" t="s">
        <v>322</v>
      </c>
      <c r="P162" s="15">
        <f>=IF(AND(F162="🥺 搁置选做",D162="选做"),1,H162)</f>
      </c>
      <c r="R162" s="15">
        <f>=H162</f>
      </c>
    </row>
    <row r="163" spans="1:18" ht="39" customHeight="0">
      <c r="A163" t="s">
        <v>291</v>
      </c>
      <c r="B163" t="s">
        <v>291</v>
      </c>
      <c r="C163" s="5" t="s">
        <v>790</v>
      </c>
      <c r="D163" t="s">
        <v>260</v>
      </c>
      <c r="E163" s="5" t="s">
        <v>528</v>
      </c>
      <c r="F163" t="s">
        <v>19</v>
      </c>
      <c r="H163" s="15">
        <f>=IF(F163="😍 已完成",1,IF(F163="💪🏻 进行中",G163,0))</f>
      </c>
      <c r="I163" t="s">
        <v>262</v>
      </c>
      <c r="L163" t="s">
        <v>292</v>
      </c>
      <c r="M163" t="s">
        <v>245</v>
      </c>
      <c r="N163" s="4">
        <f>=IF(ISBLANK(K163),M163,K163)</f>
      </c>
      <c r="O163" t="s">
        <v>322</v>
      </c>
      <c r="P163" s="15">
        <f>=IF(AND(F163="🥺 搁置选做",D163="选做"),1,H163)</f>
      </c>
      <c r="R163" s="15">
        <f>=H163</f>
      </c>
    </row>
    <row r="164" spans="1:18" ht="39" customHeight="0">
      <c r="A164" t="s">
        <v>291</v>
      </c>
      <c r="B164" t="s">
        <v>291</v>
      </c>
      <c r="C164" s="5" t="s">
        <v>791</v>
      </c>
      <c r="D164" t="s">
        <v>260</v>
      </c>
      <c r="E164" s="5" t="s">
        <v>528</v>
      </c>
      <c r="F164" t="s">
        <v>19</v>
      </c>
      <c r="H164" s="15">
        <f>=IF(F164="😍 已完成",1,IF(F164="💪🏻 进行中",G164,0))</f>
      </c>
      <c r="I164" t="s">
        <v>262</v>
      </c>
      <c r="L164" t="s">
        <v>292</v>
      </c>
      <c r="M164" t="s">
        <v>245</v>
      </c>
      <c r="N164" s="4">
        <f>=IF(ISBLANK(K164),M164,K164)</f>
      </c>
      <c r="O164" t="s">
        <v>322</v>
      </c>
      <c r="P164" s="15">
        <f>=IF(AND(F164="🥺 搁置选做",D164="选做"),1,H164)</f>
      </c>
      <c r="R164" s="15">
        <f>=H164</f>
      </c>
    </row>
    <row r="165" spans="1:18" ht="39" customHeight="0">
      <c r="A165" t="s">
        <v>291</v>
      </c>
      <c r="B165" t="s">
        <v>291</v>
      </c>
      <c r="C165" s="5" t="s">
        <v>618</v>
      </c>
      <c r="D165" t="s">
        <v>260</v>
      </c>
      <c r="E165" s="5" t="s">
        <v>528</v>
      </c>
      <c r="F165" t="s">
        <v>19</v>
      </c>
      <c r="H165" s="15">
        <f>=IF(F165="😍 已完成",1,IF(F165="💪🏻 进行中",G165,0))</f>
      </c>
      <c r="I165" t="s">
        <v>262</v>
      </c>
      <c r="L165" t="s">
        <v>323</v>
      </c>
      <c r="M165" t="s">
        <v>242</v>
      </c>
      <c r="N165" s="4">
        <f>=IF(ISBLANK(K165),M165,K165)</f>
      </c>
      <c r="O165" t="s">
        <v>322</v>
      </c>
      <c r="P165" s="15">
        <f>=IF(AND(F165="🥺 搁置选做",D165="选做"),1,H165)</f>
      </c>
      <c r="R165" s="15">
        <f>=H165</f>
      </c>
    </row>
    <row r="166" spans="1:18" ht="39" customHeight="0">
      <c r="A166" t="s">
        <v>291</v>
      </c>
      <c r="B166" t="s">
        <v>291</v>
      </c>
      <c r="C166" s="5" t="s">
        <v>792</v>
      </c>
      <c r="D166" t="s">
        <v>260</v>
      </c>
      <c r="E166" s="5" t="s">
        <v>528</v>
      </c>
      <c r="F166" t="s">
        <v>19</v>
      </c>
      <c r="H166" s="15">
        <f>=IF(F166="😍 已完成",1,IF(F166="💪🏻 进行中",G166,0))</f>
      </c>
      <c r="I166" t="s">
        <v>262</v>
      </c>
      <c r="L166" t="s">
        <v>323</v>
      </c>
      <c r="M166" t="s">
        <v>245</v>
      </c>
      <c r="N166" s="4">
        <f>=IF(ISBLANK(K166),M166,K166)</f>
      </c>
      <c r="O166" t="s">
        <v>322</v>
      </c>
      <c r="P166" s="15">
        <f>=IF(AND(F166="🥺 搁置选做",D166="选做"),1,H166)</f>
      </c>
      <c r="R166" s="15">
        <f>=H166</f>
      </c>
    </row>
    <row r="167" spans="1:18" ht="39" customHeight="0">
      <c r="A167" t="s">
        <v>291</v>
      </c>
      <c r="B167" t="s">
        <v>291</v>
      </c>
      <c r="C167" s="5" t="s">
        <v>793</v>
      </c>
      <c r="D167" t="s">
        <v>274</v>
      </c>
      <c r="E167" s="5" t="s">
        <v>528</v>
      </c>
      <c r="F167" t="s">
        <v>273</v>
      </c>
      <c r="H167" s="15">
        <f>=IF(F167="😍 已完成",1,IF(F167="💪🏻 进行中",G167,0))</f>
      </c>
      <c r="I167" t="s">
        <v>262</v>
      </c>
      <c r="L167" t="s">
        <v>324</v>
      </c>
      <c r="M167" t="s">
        <v>245</v>
      </c>
      <c r="N167" s="4">
        <f>=IF(ISBLANK(K167),M167,K167)</f>
      </c>
      <c r="O167" t="s">
        <v>322</v>
      </c>
      <c r="P167" s="15">
        <f>=IF(AND(F167="🥺 搁置选做",D167="选做"),1,H167)</f>
      </c>
      <c r="R167" s="15">
        <f>=H167</f>
      </c>
    </row>
    <row r="168" spans="1:18" ht="39" customHeight="0">
      <c r="A168" t="s">
        <v>291</v>
      </c>
      <c r="B168" t="s">
        <v>291</v>
      </c>
      <c r="C168" s="5" t="s">
        <v>794</v>
      </c>
      <c r="D168" t="s">
        <v>260</v>
      </c>
      <c r="E168" s="5" t="s">
        <v>528</v>
      </c>
      <c r="F168" t="s">
        <v>19</v>
      </c>
      <c r="H168" s="15">
        <f>=IF(F168="😍 已完成",1,IF(F168="💪🏻 进行中",G168,0))</f>
      </c>
      <c r="I168" t="s">
        <v>262</v>
      </c>
      <c r="L168" t="s">
        <v>325</v>
      </c>
      <c r="M168" t="s">
        <v>244</v>
      </c>
      <c r="N168" s="4">
        <f>=IF(ISBLANK(K168),M168,K168)</f>
      </c>
      <c r="O168" t="s">
        <v>322</v>
      </c>
      <c r="P168" s="15">
        <f>=IF(AND(F168="🥺 搁置选做",D168="选做"),1,H168)</f>
      </c>
      <c r="R168" s="15">
        <f>=H168</f>
      </c>
    </row>
    <row r="169" spans="1:18" ht="39" customHeight="0">
      <c r="A169" t="s">
        <v>291</v>
      </c>
      <c r="B169" t="s">
        <v>291</v>
      </c>
      <c r="C169" s="5" t="s">
        <v>795</v>
      </c>
      <c r="D169" t="s">
        <v>260</v>
      </c>
      <c r="E169" s="5" t="s">
        <v>528</v>
      </c>
      <c r="F169" t="s">
        <v>19</v>
      </c>
      <c r="H169" s="15">
        <f>=IF(F169="😍 已完成",1,IF(F169="💪🏻 进行中",G169,0))</f>
      </c>
      <c r="I169" t="s">
        <v>262</v>
      </c>
      <c r="L169" t="s">
        <v>325</v>
      </c>
      <c r="M169" t="s">
        <v>244</v>
      </c>
      <c r="N169" s="4">
        <f>=IF(ISBLANK(K169),M169,K169)</f>
      </c>
      <c r="O169" t="s">
        <v>322</v>
      </c>
      <c r="P169" s="15">
        <f>=IF(AND(F169="🥺 搁置选做",D169="选做"),1,H169)</f>
      </c>
      <c r="R169" s="15">
        <f>=H169</f>
      </c>
    </row>
    <row r="170" spans="1:18" ht="39" customHeight="0">
      <c r="A170" t="s">
        <v>291</v>
      </c>
      <c r="B170" t="s">
        <v>291</v>
      </c>
      <c r="C170" s="5" t="s">
        <v>796</v>
      </c>
      <c r="D170" t="s">
        <v>260</v>
      </c>
      <c r="E170" s="5" t="s">
        <v>528</v>
      </c>
      <c r="F170" t="s">
        <v>19</v>
      </c>
      <c r="H170" s="15">
        <f>=IF(F170="😍 已完成",1,IF(F170="💪🏻 进行中",G170,0))</f>
      </c>
      <c r="I170" t="s">
        <v>262</v>
      </c>
      <c r="L170" t="s">
        <v>325</v>
      </c>
      <c r="M170" t="s">
        <v>244</v>
      </c>
      <c r="N170" s="4">
        <f>=IF(ISBLANK(K170),M170,K170)</f>
      </c>
      <c r="O170" t="s">
        <v>322</v>
      </c>
      <c r="P170" s="15">
        <f>=IF(AND(F170="🥺 搁置选做",D170="选做"),1,H170)</f>
      </c>
      <c r="R170" s="15">
        <f>=H170</f>
      </c>
    </row>
    <row r="171" spans="1:18" ht="39" customHeight="0">
      <c r="A171" t="s">
        <v>291</v>
      </c>
      <c r="B171" t="s">
        <v>291</v>
      </c>
      <c r="C171" s="5" t="s">
        <v>797</v>
      </c>
      <c r="D171" t="s">
        <v>260</v>
      </c>
      <c r="E171" s="5" t="s">
        <v>528</v>
      </c>
      <c r="F171" t="s">
        <v>19</v>
      </c>
      <c r="H171" s="15">
        <f>=IF(F171="😍 已完成",1,IF(F171="💪🏻 进行中",G171,0))</f>
      </c>
      <c r="I171" t="s">
        <v>262</v>
      </c>
      <c r="L171" t="s">
        <v>325</v>
      </c>
      <c r="M171" t="s">
        <v>244</v>
      </c>
      <c r="N171" s="4">
        <f>=IF(ISBLANK(K171),M171,K171)</f>
      </c>
      <c r="O171" t="s">
        <v>322</v>
      </c>
      <c r="P171" s="15">
        <f>=IF(AND(F171="🥺 搁置选做",D171="选做"),1,H171)</f>
      </c>
      <c r="R171" s="15">
        <f>=H171</f>
      </c>
    </row>
    <row r="172" spans="1:18" ht="39" customHeight="0">
      <c r="A172" t="s">
        <v>291</v>
      </c>
      <c r="B172" t="s">
        <v>291</v>
      </c>
      <c r="C172" s="5" t="s">
        <v>798</v>
      </c>
      <c r="D172" t="s">
        <v>274</v>
      </c>
      <c r="E172" s="5" t="s">
        <v>528</v>
      </c>
      <c r="F172" t="s">
        <v>19</v>
      </c>
      <c r="H172" s="15">
        <f>=IF(F172="😍 已完成",1,IF(F172="💪🏻 进行中",G172,0))</f>
      </c>
      <c r="I172" t="s">
        <v>262</v>
      </c>
      <c r="L172" t="s">
        <v>325</v>
      </c>
      <c r="M172" t="s">
        <v>244</v>
      </c>
      <c r="N172" s="4">
        <f>=IF(ISBLANK(K172),M172,K172)</f>
      </c>
      <c r="O172" t="s">
        <v>322</v>
      </c>
      <c r="P172" s="15">
        <f>=IF(AND(F172="🥺 搁置选做",D172="选做"),1,H172)</f>
      </c>
      <c r="R172" s="15">
        <f>=H172</f>
      </c>
    </row>
    <row r="173" spans="1:18" ht="39" customHeight="0">
      <c r="A173" t="s">
        <v>291</v>
      </c>
      <c r="B173" t="s">
        <v>291</v>
      </c>
      <c r="C173" s="5" t="s">
        <v>799</v>
      </c>
      <c r="D173" t="s">
        <v>260</v>
      </c>
      <c r="E173" s="5" t="s">
        <v>528</v>
      </c>
      <c r="F173" t="s">
        <v>19</v>
      </c>
      <c r="H173" s="15">
        <f>=IF(F173="😍 已完成",1,IF(F173="💪🏻 进行中",G173,0))</f>
      </c>
      <c r="I173" t="s">
        <v>262</v>
      </c>
      <c r="L173" t="s">
        <v>325</v>
      </c>
      <c r="M173" t="s">
        <v>244</v>
      </c>
      <c r="N173" s="4">
        <f>=IF(ISBLANK(K173),M173,K173)</f>
      </c>
      <c r="O173" t="s">
        <v>322</v>
      </c>
      <c r="P173" s="15">
        <f>=IF(AND(F173="🥺 搁置选做",D173="选做"),1,H173)</f>
      </c>
      <c r="R173" s="15">
        <f>=H173</f>
      </c>
    </row>
    <row r="174" spans="1:18" ht="39" customHeight="0">
      <c r="A174" t="s">
        <v>291</v>
      </c>
      <c r="B174" t="s">
        <v>291</v>
      </c>
      <c r="C174" s="5" t="s">
        <v>800</v>
      </c>
      <c r="D174" t="s">
        <v>274</v>
      </c>
      <c r="E174" s="5" t="s">
        <v>528</v>
      </c>
      <c r="F174" t="s">
        <v>19</v>
      </c>
      <c r="H174" s="15">
        <f>=IF(F174="😍 已完成",1,IF(F174="💪🏻 进行中",G174,0))</f>
      </c>
      <c r="I174" t="s">
        <v>262</v>
      </c>
      <c r="L174" t="s">
        <v>325</v>
      </c>
      <c r="M174" t="s">
        <v>244</v>
      </c>
      <c r="N174" s="4">
        <f>=IF(ISBLANK(K174),M174,K174)</f>
      </c>
      <c r="O174" t="s">
        <v>322</v>
      </c>
      <c r="P174" s="15">
        <f>=IF(AND(F174="🥺 搁置选做",D174="选做"),1,H174)</f>
      </c>
      <c r="R174" s="15">
        <f>=H174</f>
      </c>
    </row>
    <row r="175" spans="1:18" ht="39" customHeight="0">
      <c r="A175" t="s">
        <v>291</v>
      </c>
      <c r="B175" t="s">
        <v>291</v>
      </c>
      <c r="C175" s="5" t="s">
        <v>801</v>
      </c>
      <c r="D175" t="s">
        <v>260</v>
      </c>
      <c r="E175" s="5" t="s">
        <v>528</v>
      </c>
      <c r="F175" t="s">
        <v>19</v>
      </c>
      <c r="H175" s="15">
        <f>=IF(F175="😍 已完成",1,IF(F175="💪🏻 进行中",G175,0))</f>
      </c>
      <c r="I175" t="s">
        <v>262</v>
      </c>
      <c r="L175" t="s">
        <v>325</v>
      </c>
      <c r="M175" t="s">
        <v>245</v>
      </c>
      <c r="N175" s="4">
        <f>=IF(ISBLANK(K175),M175,K175)</f>
      </c>
      <c r="O175" t="s">
        <v>322</v>
      </c>
      <c r="P175" s="15">
        <f>=IF(AND(F175="🥺 搁置选做",D175="选做"),1,H175)</f>
      </c>
      <c r="R175" s="15">
        <f>=H175</f>
      </c>
    </row>
    <row r="176" spans="1:18" ht="39" customHeight="0">
      <c r="A176" t="s">
        <v>291</v>
      </c>
      <c r="B176" t="s">
        <v>291</v>
      </c>
      <c r="C176" s="5" t="s">
        <v>802</v>
      </c>
      <c r="D176" t="s">
        <v>260</v>
      </c>
      <c r="E176" s="5" t="s">
        <v>528</v>
      </c>
      <c r="F176" t="s">
        <v>19</v>
      </c>
      <c r="H176" s="15">
        <f>=IF(F176="😍 已完成",1,IF(F176="💪🏻 进行中",G176,0))</f>
      </c>
      <c r="I176" t="s">
        <v>262</v>
      </c>
      <c r="L176" t="s">
        <v>325</v>
      </c>
      <c r="M176" t="s">
        <v>245</v>
      </c>
      <c r="N176" s="4">
        <f>=IF(ISBLANK(K176),M176,K176)</f>
      </c>
      <c r="O176" t="s">
        <v>322</v>
      </c>
      <c r="P176" s="15">
        <f>=IF(AND(F176="🥺 搁置选做",D176="选做"),1,H176)</f>
      </c>
      <c r="R176" s="15">
        <f>=H176</f>
      </c>
    </row>
    <row r="177" spans="1:18" ht="39" customHeight="0">
      <c r="A177" t="s">
        <v>291</v>
      </c>
      <c r="B177" t="s">
        <v>291</v>
      </c>
      <c r="C177" s="5" t="s">
        <v>803</v>
      </c>
      <c r="D177" t="s">
        <v>260</v>
      </c>
      <c r="E177" s="5" t="s">
        <v>528</v>
      </c>
      <c r="F177" t="s">
        <v>19</v>
      </c>
      <c r="H177" s="15">
        <f>=IF(F177="😍 已完成",1,IF(F177="💪🏻 进行中",G177,0))</f>
      </c>
      <c r="I177" t="s">
        <v>262</v>
      </c>
      <c r="L177" t="s">
        <v>325</v>
      </c>
      <c r="M177" t="s">
        <v>245</v>
      </c>
      <c r="N177" s="4">
        <f>=IF(ISBLANK(K177),M177,K177)</f>
      </c>
      <c r="O177" t="s">
        <v>322</v>
      </c>
      <c r="P177" s="15">
        <f>=IF(AND(F177="🥺 搁置选做",D177="选做"),1,H177)</f>
      </c>
      <c r="R177" s="15">
        <f>=H177</f>
      </c>
    </row>
    <row r="178" spans="1:18" ht="39" customHeight="0">
      <c r="A178" t="s">
        <v>291</v>
      </c>
      <c r="B178" t="s">
        <v>291</v>
      </c>
      <c r="C178" s="5" t="s">
        <v>804</v>
      </c>
      <c r="D178" t="s">
        <v>274</v>
      </c>
      <c r="E178" s="5" t="s">
        <v>528</v>
      </c>
      <c r="F178" t="s">
        <v>273</v>
      </c>
      <c r="H178" s="15">
        <f>=IF(F178="😍 已完成",1,IF(F178="💪🏻 进行中",G178,0))</f>
      </c>
      <c r="I178" t="s">
        <v>262</v>
      </c>
      <c r="L178" t="s">
        <v>325</v>
      </c>
      <c r="M178" t="s">
        <v>315</v>
      </c>
      <c r="N178" s="4">
        <f>=IF(ISBLANK(K178),M178,K178)</f>
      </c>
      <c r="O178" t="s">
        <v>322</v>
      </c>
      <c r="P178" s="15">
        <f>=IF(AND(F178="🥺 搁置选做",D178="选做"),1,H178)</f>
      </c>
      <c r="R178" s="15">
        <f>=H178</f>
      </c>
    </row>
    <row r="179" spans="1:18" ht="39" customHeight="0">
      <c r="A179" t="s">
        <v>291</v>
      </c>
      <c r="B179" t="s">
        <v>291</v>
      </c>
      <c r="C179" s="5" t="s">
        <v>805</v>
      </c>
      <c r="D179" t="s">
        <v>260</v>
      </c>
      <c r="E179" s="5" t="s">
        <v>528</v>
      </c>
      <c r="F179" t="s">
        <v>19</v>
      </c>
      <c r="H179" s="15">
        <f>=IF(F179="😍 已完成",1,IF(F179="💪🏻 进行中",G179,0))</f>
      </c>
      <c r="I179" t="s">
        <v>262</v>
      </c>
      <c r="L179" t="s">
        <v>325</v>
      </c>
      <c r="M179" t="s">
        <v>245</v>
      </c>
      <c r="N179" s="4">
        <f>=IF(ISBLANK(K179),M179,K179)</f>
      </c>
      <c r="O179" t="s">
        <v>322</v>
      </c>
      <c r="P179" s="15">
        <f>=IF(AND(F179="🥺 搁置选做",D179="选做"),1,H179)</f>
      </c>
      <c r="R179" s="15">
        <f>=H179</f>
      </c>
    </row>
    <row r="180" spans="1:18" ht="39" customHeight="0">
      <c r="A180" t="s">
        <v>291</v>
      </c>
      <c r="B180" t="s">
        <v>291</v>
      </c>
      <c r="C180" s="5" t="s">
        <v>806</v>
      </c>
      <c r="D180" t="s">
        <v>274</v>
      </c>
      <c r="E180" s="5" t="s">
        <v>528</v>
      </c>
      <c r="F180" t="s">
        <v>273</v>
      </c>
      <c r="H180" s="15">
        <f>=IF(F180="😍 已完成",1,IF(F180="💪🏻 进行中",G180,0))</f>
      </c>
      <c r="I180" t="s">
        <v>262</v>
      </c>
      <c r="L180" t="s">
        <v>325</v>
      </c>
      <c r="M180" t="s">
        <v>315</v>
      </c>
      <c r="N180" s="4">
        <f>=IF(ISBLANK(K180),M180,K180)</f>
      </c>
      <c r="O180" t="s">
        <v>322</v>
      </c>
      <c r="P180" s="15">
        <f>=IF(AND(F180="🥺 搁置选做",D180="选做"),1,H180)</f>
      </c>
      <c r="R180" s="15">
        <f>=H180</f>
      </c>
    </row>
    <row r="181" spans="1:18" ht="39" customHeight="0">
      <c r="A181" t="s">
        <v>291</v>
      </c>
      <c r="B181" t="s">
        <v>291</v>
      </c>
      <c r="C181" s="5" t="s">
        <v>807</v>
      </c>
      <c r="D181" t="s">
        <v>274</v>
      </c>
      <c r="E181" s="5" t="s">
        <v>528</v>
      </c>
      <c r="F181" t="s">
        <v>273</v>
      </c>
      <c r="H181" s="15">
        <f>=IF(F181="😍 已完成",1,IF(F181="💪🏻 进行中",G181,0))</f>
      </c>
      <c r="I181" t="s">
        <v>262</v>
      </c>
      <c r="L181" t="s">
        <v>325</v>
      </c>
      <c r="M181" t="s">
        <v>315</v>
      </c>
      <c r="N181" s="4">
        <f>=IF(ISBLANK(K181),M181,K181)</f>
      </c>
      <c r="O181" t="s">
        <v>322</v>
      </c>
      <c r="P181" s="15">
        <f>=IF(AND(F181="🥺 搁置选做",D181="选做"),1,H181)</f>
      </c>
      <c r="R181" s="15">
        <f>=H181</f>
      </c>
    </row>
    <row r="182" spans="1:18" ht="39" customHeight="0">
      <c r="A182" t="s">
        <v>291</v>
      </c>
      <c r="B182" t="s">
        <v>291</v>
      </c>
      <c r="C182" s="5" t="s">
        <v>808</v>
      </c>
      <c r="D182" t="s">
        <v>260</v>
      </c>
      <c r="E182" s="5" t="s">
        <v>528</v>
      </c>
      <c r="F182" t="s">
        <v>19</v>
      </c>
      <c r="H182" s="15">
        <f>=IF(F182="😍 已完成",1,IF(F182="💪🏻 进行中",G182,0))</f>
      </c>
      <c r="I182" t="s">
        <v>262</v>
      </c>
      <c r="L182" t="s">
        <v>325</v>
      </c>
      <c r="M182" t="s">
        <v>246</v>
      </c>
      <c r="N182" s="4">
        <f>=IF(ISBLANK(K182),M182,K182)</f>
      </c>
      <c r="O182" t="s">
        <v>322</v>
      </c>
      <c r="P182" s="15">
        <f>=IF(AND(F182="🥺 搁置选做",D182="选做"),1,H182)</f>
      </c>
      <c r="R182" s="15">
        <f>=H182</f>
      </c>
    </row>
    <row r="183" spans="1:18" ht="39" customHeight="0">
      <c r="A183" t="s">
        <v>291</v>
      </c>
      <c r="B183" t="s">
        <v>291</v>
      </c>
      <c r="C183" s="5" t="s">
        <v>809</v>
      </c>
      <c r="D183" t="s">
        <v>260</v>
      </c>
      <c r="E183" s="5" t="s">
        <v>528</v>
      </c>
      <c r="F183" t="s">
        <v>19</v>
      </c>
      <c r="H183" s="15">
        <f>=IF(F183="😍 已完成",1,IF(F183="💪🏻 进行中",G183,0))</f>
      </c>
      <c r="I183" t="s">
        <v>262</v>
      </c>
      <c r="L183" t="s">
        <v>326</v>
      </c>
      <c r="M183" t="s">
        <v>246</v>
      </c>
      <c r="N183" s="4">
        <f>=IF(ISBLANK(K183),M183,K183)</f>
      </c>
      <c r="O183" t="s">
        <v>322</v>
      </c>
      <c r="P183" s="15">
        <f>=IF(AND(F183="🥺 搁置选做",D183="选做"),1,H183)</f>
      </c>
      <c r="R183" s="15">
        <f>=H183</f>
      </c>
    </row>
    <row r="184" spans="1:18" ht="39" customHeight="0">
      <c r="A184" t="s">
        <v>291</v>
      </c>
      <c r="B184" t="s">
        <v>291</v>
      </c>
      <c r="C184" s="5" t="s">
        <v>810</v>
      </c>
      <c r="D184" t="s">
        <v>260</v>
      </c>
      <c r="E184" s="5" t="s">
        <v>528</v>
      </c>
      <c r="F184" t="s">
        <v>19</v>
      </c>
      <c r="H184" s="15">
        <f>=IF(F184="😍 已完成",1,IF(F184="💪🏻 进行中",G184,0))</f>
      </c>
      <c r="I184" t="s">
        <v>262</v>
      </c>
      <c r="L184" t="s">
        <v>326</v>
      </c>
      <c r="M184" t="s">
        <v>246</v>
      </c>
      <c r="N184" s="4">
        <f>=IF(ISBLANK(K184),M184,K184)</f>
      </c>
      <c r="O184" t="s">
        <v>322</v>
      </c>
      <c r="P184" s="15">
        <f>=IF(AND(F184="🥺 搁置选做",D184="选做"),1,H184)</f>
      </c>
      <c r="R184" s="15">
        <f>=H184</f>
      </c>
    </row>
    <row r="185" spans="1:18" ht="39" customHeight="0">
      <c r="A185" t="s">
        <v>293</v>
      </c>
      <c r="B185" t="s">
        <v>293</v>
      </c>
      <c r="C185" s="5" t="s">
        <v>811</v>
      </c>
      <c r="D185" t="s">
        <v>260</v>
      </c>
      <c r="E185" s="5" t="s">
        <v>528</v>
      </c>
      <c r="F185" t="s">
        <v>24</v>
      </c>
      <c r="H185" s="15">
        <f>=IF(F185="😍 已完成",1,IF(F185="💪🏻 进行中",G185,0))</f>
      </c>
      <c r="I185" t="s">
        <v>262</v>
      </c>
      <c r="L185" t="s">
        <v>294</v>
      </c>
      <c r="M185" t="s">
        <v>15</v>
      </c>
      <c r="N185" s="4">
        <f>=IF(ISBLANK(K185),M185,K185)</f>
      </c>
      <c r="O185" t="s">
        <v>322</v>
      </c>
      <c r="P185" s="15">
        <f>=IF(AND(F185="🥺 搁置选做",D185="选做"),1,H185)</f>
      </c>
      <c r="R185" s="15">
        <f>=H185</f>
      </c>
    </row>
    <row r="186" spans="1:18" ht="39" customHeight="0">
      <c r="A186" t="s">
        <v>293</v>
      </c>
      <c r="B186" t="s">
        <v>293</v>
      </c>
      <c r="C186" s="5" t="s">
        <v>812</v>
      </c>
      <c r="D186" t="s">
        <v>260</v>
      </c>
      <c r="E186" s="5" t="s">
        <v>528</v>
      </c>
      <c r="F186" t="s">
        <v>24</v>
      </c>
      <c r="H186" s="15">
        <f>=IF(F186="😍 已完成",1,IF(F186="💪🏻 进行中",G186,0))</f>
      </c>
      <c r="I186" t="s">
        <v>262</v>
      </c>
      <c r="L186" t="s">
        <v>294</v>
      </c>
      <c r="M186" t="s">
        <v>15</v>
      </c>
      <c r="N186" s="4">
        <f>=IF(ISBLANK(K186),M186,K186)</f>
      </c>
      <c r="O186" t="s">
        <v>322</v>
      </c>
      <c r="P186" s="15">
        <f>=IF(AND(F186="🥺 搁置选做",D186="选做"),1,H186)</f>
      </c>
      <c r="R186" s="15">
        <f>=H186</f>
      </c>
    </row>
    <row r="187" spans="1:18" ht="39" customHeight="0">
      <c r="A187" t="s">
        <v>293</v>
      </c>
      <c r="B187" t="s">
        <v>293</v>
      </c>
      <c r="C187" s="5" t="s">
        <v>813</v>
      </c>
      <c r="D187" t="s">
        <v>260</v>
      </c>
      <c r="E187" s="5" t="s">
        <v>528</v>
      </c>
      <c r="F187" t="s">
        <v>24</v>
      </c>
      <c r="H187" s="15">
        <f>=IF(F187="😍 已完成",1,IF(F187="💪🏻 进行中",G187,0))</f>
      </c>
      <c r="I187" t="s">
        <v>262</v>
      </c>
      <c r="L187" t="s">
        <v>294</v>
      </c>
      <c r="M187" t="s">
        <v>15</v>
      </c>
      <c r="N187" s="4">
        <f>=IF(ISBLANK(K187),M187,K187)</f>
      </c>
      <c r="O187" t="s">
        <v>322</v>
      </c>
      <c r="P187" s="15">
        <f>=IF(AND(F187="🥺 搁置选做",D187="选做"),1,H187)</f>
      </c>
      <c r="R187" s="15">
        <f>=H187</f>
      </c>
    </row>
    <row r="188" spans="1:18" ht="39" customHeight="0">
      <c r="A188" t="s">
        <v>293</v>
      </c>
      <c r="B188" t="s">
        <v>293</v>
      </c>
      <c r="C188" s="5" t="s">
        <v>814</v>
      </c>
      <c r="D188" t="s">
        <v>260</v>
      </c>
      <c r="E188" s="5" t="s">
        <v>528</v>
      </c>
      <c r="F188" t="s">
        <v>24</v>
      </c>
      <c r="H188" s="15">
        <f>=IF(F188="😍 已完成",1,IF(F188="💪🏻 进行中",G188,0))</f>
      </c>
      <c r="I188" t="s">
        <v>262</v>
      </c>
      <c r="L188" t="s">
        <v>294</v>
      </c>
      <c r="M188" t="s">
        <v>15</v>
      </c>
      <c r="N188" s="4">
        <f>=IF(ISBLANK(K188),M188,K188)</f>
      </c>
      <c r="O188" t="s">
        <v>322</v>
      </c>
      <c r="P188" s="15">
        <f>=IF(AND(F188="🥺 搁置选做",D188="选做"),1,H188)</f>
      </c>
      <c r="R188" s="15">
        <f>=H188</f>
      </c>
    </row>
    <row r="189" spans="1:18" ht="39" customHeight="0">
      <c r="A189" t="s">
        <v>293</v>
      </c>
      <c r="B189" t="s">
        <v>293</v>
      </c>
      <c r="C189" s="5" t="s">
        <v>815</v>
      </c>
      <c r="D189" t="s">
        <v>260</v>
      </c>
      <c r="E189" s="5" t="s">
        <v>528</v>
      </c>
      <c r="F189" t="s">
        <v>24</v>
      </c>
      <c r="H189" s="15">
        <f>=IF(F189="😍 已完成",1,IF(F189="💪🏻 进行中",G189,0))</f>
      </c>
      <c r="I189" t="s">
        <v>262</v>
      </c>
      <c r="L189" t="s">
        <v>327</v>
      </c>
      <c r="M189" t="s">
        <v>15</v>
      </c>
      <c r="N189" s="4">
        <f>=IF(ISBLANK(K189),M189,K189)</f>
      </c>
      <c r="O189" t="s">
        <v>322</v>
      </c>
      <c r="P189" s="15">
        <f>=IF(AND(F189="🥺 搁置选做",D189="选做"),1,H189)</f>
      </c>
      <c r="R189" s="15">
        <f>=H189</f>
      </c>
    </row>
    <row r="190" spans="1:18" ht="39" customHeight="0">
      <c r="A190" t="s">
        <v>293</v>
      </c>
      <c r="B190" t="s">
        <v>293</v>
      </c>
      <c r="C190" s="5" t="s">
        <v>816</v>
      </c>
      <c r="D190" t="s">
        <v>260</v>
      </c>
      <c r="E190" s="5" t="s">
        <v>528</v>
      </c>
      <c r="F190" t="s">
        <v>24</v>
      </c>
      <c r="H190" s="15">
        <f>=IF(F190="😍 已完成",1,IF(F190="💪🏻 进行中",G190,0))</f>
      </c>
      <c r="I190" t="s">
        <v>262</v>
      </c>
      <c r="L190" t="s">
        <v>327</v>
      </c>
      <c r="M190" t="s">
        <v>15</v>
      </c>
      <c r="N190" s="4">
        <f>=IF(ISBLANK(K190),M190,K190)</f>
      </c>
      <c r="O190" t="s">
        <v>322</v>
      </c>
      <c r="P190" s="15">
        <f>=IF(AND(F190="🥺 搁置选做",D190="选做"),1,H190)</f>
      </c>
      <c r="R190" s="15">
        <f>=H190</f>
      </c>
    </row>
    <row r="191" spans="1:18" ht="39" customHeight="0">
      <c r="A191" t="s">
        <v>328</v>
      </c>
      <c r="B191" t="s">
        <v>328</v>
      </c>
      <c r="C191" s="5" t="s">
        <v>817</v>
      </c>
      <c r="D191" t="s">
        <v>260</v>
      </c>
      <c r="E191" s="5" t="s">
        <v>528</v>
      </c>
      <c r="F191" t="s">
        <v>24</v>
      </c>
      <c r="H191" s="15">
        <f>=IF(F191="😍 已完成",1,IF(F191="💪🏻 进行中",G191,0))</f>
      </c>
      <c r="I191" t="s">
        <v>262</v>
      </c>
      <c r="L191" t="s">
        <v>329</v>
      </c>
      <c r="M191" t="s">
        <v>15</v>
      </c>
      <c r="N191" s="4">
        <f>=IF(ISBLANK(K191),M191,K191)</f>
      </c>
      <c r="O191" t="s">
        <v>322</v>
      </c>
      <c r="P191" s="15">
        <f>=IF(AND(F191="🥺 搁置选做",D191="选做"),1,H191)</f>
      </c>
      <c r="R191" s="15">
        <f>=H191</f>
      </c>
    </row>
    <row r="192" spans="1:18" ht="39" customHeight="0">
      <c r="A192" t="s">
        <v>328</v>
      </c>
      <c r="B192" t="s">
        <v>328</v>
      </c>
      <c r="C192" s="5" t="s">
        <v>818</v>
      </c>
      <c r="D192" t="s">
        <v>260</v>
      </c>
      <c r="E192" s="5" t="s">
        <v>528</v>
      </c>
      <c r="F192" t="s">
        <v>24</v>
      </c>
      <c r="H192" s="15">
        <f>=IF(F192="😍 已完成",1,IF(F192="💪🏻 进行中",G192,0))</f>
      </c>
      <c r="I192" t="s">
        <v>262</v>
      </c>
      <c r="L192" t="s">
        <v>329</v>
      </c>
      <c r="M192" t="s">
        <v>15</v>
      </c>
      <c r="N192" s="4">
        <f>=IF(ISBLANK(K192),M192,K192)</f>
      </c>
      <c r="O192" t="s">
        <v>322</v>
      </c>
      <c r="P192" s="15">
        <f>=IF(AND(F192="🥺 搁置选做",D192="选做"),1,H192)</f>
      </c>
      <c r="R192" s="15">
        <f>=H192</f>
      </c>
    </row>
    <row r="193" spans="1:18" ht="39" customHeight="0">
      <c r="A193" t="s">
        <v>328</v>
      </c>
      <c r="B193" t="s">
        <v>328</v>
      </c>
      <c r="C193" s="5" t="s">
        <v>819</v>
      </c>
      <c r="D193" t="s">
        <v>260</v>
      </c>
      <c r="E193" s="5" t="s">
        <v>528</v>
      </c>
      <c r="F193" t="s">
        <v>24</v>
      </c>
      <c r="H193" s="15">
        <f>=IF(F193="😍 已完成",1,IF(F193="💪🏻 进行中",G193,0))</f>
      </c>
      <c r="I193" t="s">
        <v>262</v>
      </c>
      <c r="L193" t="s">
        <v>329</v>
      </c>
      <c r="M193" t="s">
        <v>15</v>
      </c>
      <c r="N193" s="4">
        <f>=IF(ISBLANK(K193),M193,K193)</f>
      </c>
      <c r="O193" t="s">
        <v>322</v>
      </c>
      <c r="P193" s="15">
        <f>=IF(AND(F193="🥺 搁置选做",D193="选做"),1,H193)</f>
      </c>
      <c r="R193" s="15">
        <f>=H193</f>
      </c>
    </row>
    <row r="194" spans="1:18" ht="39" customHeight="0">
      <c r="A194" t="s">
        <v>328</v>
      </c>
      <c r="B194" t="s">
        <v>328</v>
      </c>
      <c r="C194" s="5" t="s">
        <v>820</v>
      </c>
      <c r="D194" t="s">
        <v>260</v>
      </c>
      <c r="E194" s="5" t="s">
        <v>528</v>
      </c>
      <c r="F194" t="s">
        <v>24</v>
      </c>
      <c r="H194" s="15">
        <f>=IF(F194="😍 已完成",1,IF(F194="💪🏻 进行中",G194,0))</f>
      </c>
      <c r="I194" t="s">
        <v>262</v>
      </c>
      <c r="L194" t="s">
        <v>330</v>
      </c>
      <c r="M194" t="s">
        <v>15</v>
      </c>
      <c r="N194" s="4">
        <f>=IF(ISBLANK(K194),M194,K194)</f>
      </c>
      <c r="O194" t="s">
        <v>322</v>
      </c>
      <c r="P194" s="15">
        <f>=IF(AND(F194="🥺 搁置选做",D194="选做"),1,H194)</f>
      </c>
      <c r="R194" s="15">
        <f>=H194</f>
      </c>
    </row>
    <row r="195" spans="1:18" ht="39" customHeight="0">
      <c r="A195" t="s">
        <v>328</v>
      </c>
      <c r="B195" t="s">
        <v>328</v>
      </c>
      <c r="C195" s="5" t="s">
        <v>821</v>
      </c>
      <c r="D195" t="s">
        <v>260</v>
      </c>
      <c r="E195" s="5" t="s">
        <v>528</v>
      </c>
      <c r="F195" t="s">
        <v>24</v>
      </c>
      <c r="H195" s="15">
        <f>=IF(F195="😍 已完成",1,IF(F195="💪🏻 进行中",G195,0))</f>
      </c>
      <c r="I195" t="s">
        <v>262</v>
      </c>
      <c r="L195" t="s">
        <v>330</v>
      </c>
      <c r="M195" t="s">
        <v>15</v>
      </c>
      <c r="N195" s="4">
        <f>=IF(ISBLANK(K195),M195,K195)</f>
      </c>
      <c r="O195" t="s">
        <v>322</v>
      </c>
      <c r="P195" s="15">
        <f>=IF(AND(F195="🥺 搁置选做",D195="选做"),1,H195)</f>
      </c>
      <c r="R195" s="15">
        <f>=H195</f>
      </c>
    </row>
    <row r="196" spans="1:18" ht="39" customHeight="0">
      <c r="A196" t="s">
        <v>328</v>
      </c>
      <c r="B196" t="s">
        <v>328</v>
      </c>
      <c r="C196" s="5" t="s">
        <v>822</v>
      </c>
      <c r="D196" t="s">
        <v>260</v>
      </c>
      <c r="E196" s="5" t="s">
        <v>528</v>
      </c>
      <c r="F196" t="s">
        <v>24</v>
      </c>
      <c r="H196" s="15">
        <f>=IF(F196="😍 已完成",1,IF(F196="💪🏻 进行中",G196,0))</f>
      </c>
      <c r="I196" t="s">
        <v>262</v>
      </c>
      <c r="L196" t="s">
        <v>330</v>
      </c>
      <c r="M196" t="s">
        <v>15</v>
      </c>
      <c r="N196" s="4">
        <f>=IF(ISBLANK(K196),M196,K196)</f>
      </c>
      <c r="O196" t="s">
        <v>322</v>
      </c>
      <c r="P196" s="15">
        <f>=IF(AND(F196="🥺 搁置选做",D196="选做"),1,H196)</f>
      </c>
      <c r="R196" s="15">
        <f>=H196</f>
      </c>
    </row>
    <row r="197" spans="1:18" ht="39" customHeight="0">
      <c r="A197" t="s">
        <v>328</v>
      </c>
      <c r="B197" t="s">
        <v>328</v>
      </c>
      <c r="C197" s="5" t="s">
        <v>823</v>
      </c>
      <c r="D197" t="s">
        <v>260</v>
      </c>
      <c r="E197" s="5" t="s">
        <v>528</v>
      </c>
      <c r="F197" t="s">
        <v>24</v>
      </c>
      <c r="H197" s="15">
        <f>=IF(F197="😍 已完成",1,IF(F197="💪🏻 进行中",G197,0))</f>
      </c>
      <c r="I197" t="s">
        <v>262</v>
      </c>
      <c r="L197" t="s">
        <v>330</v>
      </c>
      <c r="M197" t="s">
        <v>15</v>
      </c>
      <c r="N197" s="4">
        <f>=IF(ISBLANK(K197),M197,K197)</f>
      </c>
      <c r="O197" t="s">
        <v>322</v>
      </c>
      <c r="P197" s="15">
        <f>=IF(AND(F197="🥺 搁置选做",D197="选做"),1,H197)</f>
      </c>
      <c r="R197" s="15">
        <f>=H197</f>
      </c>
    </row>
    <row r="198" spans="1:18" ht="39" customHeight="0">
      <c r="A198" t="s">
        <v>328</v>
      </c>
      <c r="B198" t="s">
        <v>328</v>
      </c>
      <c r="C198" s="5" t="s">
        <v>824</v>
      </c>
      <c r="D198" t="s">
        <v>260</v>
      </c>
      <c r="E198" s="5" t="s">
        <v>528</v>
      </c>
      <c r="F198" t="s">
        <v>24</v>
      </c>
      <c r="H198" s="15">
        <f>=IF(F198="😍 已完成",1,IF(F198="💪🏻 进行中",G198,0))</f>
      </c>
      <c r="I198" t="s">
        <v>262</v>
      </c>
      <c r="L198" t="s">
        <v>331</v>
      </c>
      <c r="M198" t="s">
        <v>15</v>
      </c>
      <c r="N198" s="4">
        <f>=IF(ISBLANK(K198),M198,K198)</f>
      </c>
      <c r="O198" t="s">
        <v>322</v>
      </c>
      <c r="P198" s="15">
        <f>=IF(AND(F198="🥺 搁置选做",D198="选做"),1,H198)</f>
      </c>
      <c r="R198" s="15">
        <f>=H198</f>
      </c>
    </row>
    <row r="199" spans="1:18" ht="39" customHeight="0">
      <c r="A199" t="s">
        <v>328</v>
      </c>
      <c r="B199" t="s">
        <v>328</v>
      </c>
      <c r="C199" s="5" t="s">
        <v>825</v>
      </c>
      <c r="D199" t="s">
        <v>260</v>
      </c>
      <c r="E199" s="5" t="s">
        <v>528</v>
      </c>
      <c r="F199" t="s">
        <v>24</v>
      </c>
      <c r="H199" s="15">
        <f>=IF(F199="😍 已完成",1,IF(F199="💪🏻 进行中",G199,0))</f>
      </c>
      <c r="I199" t="s">
        <v>262</v>
      </c>
      <c r="L199" t="s">
        <v>331</v>
      </c>
      <c r="M199" t="s">
        <v>15</v>
      </c>
      <c r="N199" s="4">
        <f>=IF(ISBLANK(K199),M199,K199)</f>
      </c>
      <c r="O199" t="s">
        <v>322</v>
      </c>
      <c r="P199" s="15">
        <f>=IF(AND(F199="🥺 搁置选做",D199="选做"),1,H199)</f>
      </c>
      <c r="R199" s="15">
        <f>=H199</f>
      </c>
    </row>
    <row r="200" spans="1:18" ht="39" customHeight="0">
      <c r="A200" t="s">
        <v>328</v>
      </c>
      <c r="B200" t="s">
        <v>328</v>
      </c>
      <c r="C200" s="5" t="s">
        <v>826</v>
      </c>
      <c r="D200" t="s">
        <v>260</v>
      </c>
      <c r="E200" s="5" t="s">
        <v>528</v>
      </c>
      <c r="F200" t="s">
        <v>24</v>
      </c>
      <c r="H200" s="15">
        <f>=IF(F200="😍 已完成",1,IF(F200="💪🏻 进行中",G200,0))</f>
      </c>
      <c r="I200" t="s">
        <v>262</v>
      </c>
      <c r="L200" t="s">
        <v>332</v>
      </c>
      <c r="M200" t="s">
        <v>15</v>
      </c>
      <c r="N200" s="4">
        <f>=IF(ISBLANK(K200),M200,K200)</f>
      </c>
      <c r="O200" t="s">
        <v>322</v>
      </c>
      <c r="P200" s="15">
        <f>=IF(AND(F200="🥺 搁置选做",D200="选做"),1,H200)</f>
      </c>
      <c r="R200" s="15">
        <f>=H200</f>
      </c>
    </row>
    <row r="201" spans="1:18" ht="39" customHeight="0">
      <c r="A201" t="s">
        <v>328</v>
      </c>
      <c r="B201" t="s">
        <v>328</v>
      </c>
      <c r="C201" s="5" t="s">
        <v>827</v>
      </c>
      <c r="D201" t="s">
        <v>260</v>
      </c>
      <c r="E201" s="5" t="s">
        <v>528</v>
      </c>
      <c r="F201" t="s">
        <v>24</v>
      </c>
      <c r="H201" s="15">
        <f>=IF(F201="😍 已完成",1,IF(F201="💪🏻 进行中",G201,0))</f>
      </c>
      <c r="I201" t="s">
        <v>262</v>
      </c>
      <c r="L201" t="s">
        <v>333</v>
      </c>
      <c r="M201" t="s">
        <v>15</v>
      </c>
      <c r="N201" s="4">
        <f>=IF(ISBLANK(K201),M201,K201)</f>
      </c>
      <c r="O201" t="s">
        <v>322</v>
      </c>
      <c r="P201" s="15">
        <f>=IF(AND(F201="🥺 搁置选做",D201="选做"),1,H201)</f>
      </c>
      <c r="R201" s="15">
        <f>=H201</f>
      </c>
    </row>
    <row r="202" spans="1:18" ht="39" customHeight="0">
      <c r="A202" t="s">
        <v>328</v>
      </c>
      <c r="B202" t="s">
        <v>328</v>
      </c>
      <c r="C202" s="5" t="s">
        <v>828</v>
      </c>
      <c r="D202" t="s">
        <v>260</v>
      </c>
      <c r="E202" s="5" t="s">
        <v>528</v>
      </c>
      <c r="F202" t="s">
        <v>24</v>
      </c>
      <c r="H202" s="15">
        <f>=IF(F202="😍 已完成",1,IF(F202="💪🏻 进行中",G202,0))</f>
      </c>
      <c r="I202" t="s">
        <v>262</v>
      </c>
      <c r="L202" t="s">
        <v>333</v>
      </c>
      <c r="M202" t="s">
        <v>15</v>
      </c>
      <c r="N202" s="4">
        <f>=IF(ISBLANK(K202),M202,K202)</f>
      </c>
      <c r="O202" t="s">
        <v>322</v>
      </c>
      <c r="P202" s="15">
        <f>=IF(AND(F202="🥺 搁置选做",D202="选做"),1,H202)</f>
      </c>
      <c r="R202" s="15">
        <f>=H202</f>
      </c>
    </row>
    <row r="203" spans="1:18" ht="39" customHeight="0">
      <c r="A203" t="s">
        <v>328</v>
      </c>
      <c r="B203" t="s">
        <v>328</v>
      </c>
      <c r="C203" s="5" t="s">
        <v>829</v>
      </c>
      <c r="D203" t="s">
        <v>260</v>
      </c>
      <c r="E203" s="5" t="s">
        <v>528</v>
      </c>
      <c r="F203" t="s">
        <v>24</v>
      </c>
      <c r="H203" s="15">
        <f>=IF(F203="😍 已完成",1,IF(F203="💪🏻 进行中",G203,0))</f>
      </c>
      <c r="I203" t="s">
        <v>262</v>
      </c>
      <c r="L203" t="s">
        <v>333</v>
      </c>
      <c r="M203" t="s">
        <v>15</v>
      </c>
      <c r="N203" s="4">
        <f>=IF(ISBLANK(K203),M203,K203)</f>
      </c>
      <c r="O203" t="s">
        <v>322</v>
      </c>
      <c r="P203" s="15">
        <f>=IF(AND(F203="🥺 搁置选做",D203="选做"),1,H203)</f>
      </c>
      <c r="R203" s="15">
        <f>=H203</f>
      </c>
    </row>
    <row r="204" spans="1:18" ht="39" customHeight="0">
      <c r="A204" t="s">
        <v>328</v>
      </c>
      <c r="B204" t="s">
        <v>328</v>
      </c>
      <c r="C204" s="5" t="s">
        <v>830</v>
      </c>
      <c r="D204" t="s">
        <v>260</v>
      </c>
      <c r="E204" s="5" t="s">
        <v>528</v>
      </c>
      <c r="F204" t="s">
        <v>24</v>
      </c>
      <c r="H204" s="15">
        <f>=IF(F204="😍 已完成",1,IF(F204="💪🏻 进行中",G204,0))</f>
      </c>
      <c r="I204" t="s">
        <v>262</v>
      </c>
      <c r="L204" t="s">
        <v>333</v>
      </c>
      <c r="M204" t="s">
        <v>15</v>
      </c>
      <c r="N204" s="4">
        <f>=IF(ISBLANK(K204),M204,K204)</f>
      </c>
      <c r="O204" t="s">
        <v>322</v>
      </c>
      <c r="P204" s="15">
        <f>=IF(AND(F204="🥺 搁置选做",D204="选做"),1,H204)</f>
      </c>
      <c r="R204" s="15">
        <f>=H204</f>
      </c>
    </row>
    <row r="205" spans="1:18" ht="39" customHeight="0">
      <c r="A205" t="s">
        <v>328</v>
      </c>
      <c r="B205" t="s">
        <v>328</v>
      </c>
      <c r="C205" s="5" t="s">
        <v>793</v>
      </c>
      <c r="D205" t="s">
        <v>260</v>
      </c>
      <c r="E205" s="5" t="s">
        <v>528</v>
      </c>
      <c r="F205" t="s">
        <v>24</v>
      </c>
      <c r="H205" s="15">
        <f>=IF(F205="😍 已完成",1,IF(F205="💪🏻 进行中",G205,0))</f>
      </c>
      <c r="I205" t="s">
        <v>262</v>
      </c>
      <c r="L205" t="s">
        <v>334</v>
      </c>
      <c r="M205" t="s">
        <v>15</v>
      </c>
      <c r="N205" s="4">
        <f>=IF(ISBLANK(K205),M205,K205)</f>
      </c>
      <c r="O205" t="s">
        <v>322</v>
      </c>
      <c r="P205" s="15">
        <f>=IF(AND(F205="🥺 搁置选做",D205="选做"),1,H205)</f>
      </c>
      <c r="R205" s="15">
        <f>=H205</f>
      </c>
    </row>
    <row r="206" spans="1:18" ht="39" customHeight="0">
      <c r="A206" t="s">
        <v>328</v>
      </c>
      <c r="B206" t="s">
        <v>328</v>
      </c>
      <c r="C206" s="5" t="s">
        <v>793</v>
      </c>
      <c r="D206" t="s">
        <v>260</v>
      </c>
      <c r="E206" s="5" t="s">
        <v>528</v>
      </c>
      <c r="F206" t="s">
        <v>24</v>
      </c>
      <c r="H206" s="15">
        <f>=IF(F206="😍 已完成",1,IF(F206="💪🏻 进行中",G206,0))</f>
      </c>
      <c r="I206" t="s">
        <v>262</v>
      </c>
      <c r="L206" t="s">
        <v>335</v>
      </c>
      <c r="M206" t="s">
        <v>15</v>
      </c>
      <c r="N206" s="4">
        <f>=IF(ISBLANK(K206),M206,K206)</f>
      </c>
      <c r="O206" t="s">
        <v>322</v>
      </c>
      <c r="P206" s="15">
        <f>=IF(AND(F206="🥺 搁置选做",D206="选做"),1,H206)</f>
      </c>
      <c r="R206" s="15">
        <f>=H206</f>
      </c>
    </row>
    <row r="207" spans="1:18" ht="39" customHeight="0">
      <c r="A207" t="s">
        <v>288</v>
      </c>
      <c r="B207" t="s">
        <v>288</v>
      </c>
      <c r="C207" s="5" t="s">
        <v>831</v>
      </c>
      <c r="D207" t="s">
        <v>260</v>
      </c>
      <c r="E207" s="5" t="s">
        <v>528</v>
      </c>
      <c r="F207" t="s">
        <v>19</v>
      </c>
      <c r="H207" s="15">
        <f>=IF(F207="😍 已完成",1,IF(F207="💪🏻 进行中",G207,0))</f>
      </c>
      <c r="I207" t="s">
        <v>262</v>
      </c>
      <c r="L207" t="s">
        <v>289</v>
      </c>
      <c r="M207" t="s">
        <v>237</v>
      </c>
      <c r="N207" s="4">
        <f>=IF(ISBLANK(K207),M207,K207)</f>
      </c>
      <c r="O207" t="s">
        <v>322</v>
      </c>
      <c r="P207" s="15">
        <f>=IF(AND(F207="🥺 搁置选做",D207="选做"),1,H207)</f>
      </c>
      <c r="R207" s="15">
        <f>=H207</f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N7"/>
  <sheetViews>
    <sheetView workbookViewId="0">
      <pane xSplit="1" topLeftCell="B1" state="frozen"/>
    </sheetView>
  </sheetViews>
  <cols>
    <col min="1" max="1" width="37" customWidth="0"/>
    <col min="2" max="2" width="36" hidden="1" customWidth="0"/>
    <col min="3" max="3" width="15" customWidth="0"/>
    <col min="4" max="4" width="30" customWidth="0"/>
    <col min="5" max="5" width="37" customWidth="0"/>
    <col min="6" max="6" width="16" customWidth="0"/>
    <col min="7" max="7" width="11" hidden="1" customWidth="0"/>
    <col min="8" max="8" width="11" customWidth="0"/>
    <col min="9" max="9" width="19" hidden="1" customWidth="0"/>
    <col min="10" max="10" width="29" hidden="1" customWidth="0"/>
    <col min="11" max="11" width="28" hidden="1" customWidth="0"/>
    <col min="12" max="14" width="19" hidden="1" customWidth="0"/>
  </cols>
  <sheetData>
    <row r="1" spans="1:14" ht="39" customHeight="0">
      <c r="A1" t="s">
        <v>9</v>
      </c>
      <c r="B1" t="s">
        <v>2</v>
      </c>
      <c r="C1" t="s">
        <v>3</v>
      </c>
      <c r="D1" t="s">
        <v>13</v>
      </c>
      <c r="E1" t="s">
        <v>4</v>
      </c>
      <c r="F1" t="s">
        <v>5</v>
      </c>
      <c r="G1" t="s">
        <v>6</v>
      </c>
      <c r="H1" t="s">
        <v>1</v>
      </c>
      <c r="I1" t="s">
        <v>14</v>
      </c>
      <c r="J1" t="s">
        <v>10</v>
      </c>
      <c r="K1" t="s">
        <v>7</v>
      </c>
      <c r="L1" t="s">
        <v>11</v>
      </c>
      <c r="M1" t="s">
        <v>12</v>
      </c>
      <c r="N1" t="s">
        <v>8</v>
      </c>
    </row>
    <row r="2" spans="1:14" ht="39" customHeight="0">
      <c r="A2" s="5" t="s">
        <v>380</v>
      </c>
      <c r="B2" t="s">
        <v>18</v>
      </c>
      <c r="C2" t="s">
        <v>19</v>
      </c>
      <c r="D2" s="5" t="s">
        <v>381</v>
      </c>
      <c r="E2" t="s">
        <v>374</v>
      </c>
      <c r="G2" t="s">
        <v>15</v>
      </c>
      <c r="H2" t="s">
        <v>21</v>
      </c>
      <c r="I2">
        <f>=AND(N2=TRUE(),OR(C2="😉 即将开始",C2="💪🏻 进行中",ISBLANK(C2),M2=TODAY()))</f>
      </c>
      <c r="J2" t="s">
        <v>20</v>
      </c>
      <c r="K2" t="s">
        <v>16</v>
      </c>
      <c r="L2" t="s">
        <v>15</v>
      </c>
      <c r="M2" s="4">
        <f>=IF(ISBLANK(H2),L2,H2)</f>
      </c>
      <c r="N2" t="s">
        <v>17</v>
      </c>
    </row>
    <row r="3" spans="1:14" ht="39" customHeight="0">
      <c r="A3" s="5" t="s">
        <v>382</v>
      </c>
      <c r="B3" t="s">
        <v>18</v>
      </c>
      <c r="C3" t="s">
        <v>22</v>
      </c>
      <c r="D3" s="5" t="s">
        <v>383</v>
      </c>
      <c r="E3" t="s">
        <v>375</v>
      </c>
      <c r="F3" s="5" t="s">
        <v>384</v>
      </c>
      <c r="G3" t="s">
        <v>15</v>
      </c>
      <c r="I3">
        <f>=AND(N3=TRUE(),OR(C3="😉 即将开始",C3="💪🏻 进行中",ISBLANK(C3),M3=TODAY()))</f>
      </c>
      <c r="J3" t="s">
        <v>20</v>
      </c>
      <c r="K3" t="s">
        <v>16</v>
      </c>
      <c r="L3" t="s">
        <v>15</v>
      </c>
      <c r="M3" s="4">
        <f>=IF(ISBLANK(H3),L3,H3)</f>
      </c>
      <c r="N3" t="s">
        <v>17</v>
      </c>
    </row>
    <row r="4" spans="1:14" ht="39" customHeight="0">
      <c r="A4" s="5" t="s">
        <v>386</v>
      </c>
      <c r="B4" t="s">
        <v>18</v>
      </c>
      <c r="C4" t="s">
        <v>23</v>
      </c>
      <c r="D4" s="5" t="s">
        <v>387</v>
      </c>
      <c r="E4" t="s">
        <v>376</v>
      </c>
      <c r="F4" s="5" t="s">
        <v>385</v>
      </c>
      <c r="G4" t="s">
        <v>15</v>
      </c>
      <c r="I4">
        <f>=AND(N4=TRUE(),OR(C4="😉 即将开始",C4="💪🏻 进行中",ISBLANK(C4),M4=TODAY()))</f>
      </c>
      <c r="J4" t="s">
        <v>20</v>
      </c>
      <c r="K4" t="s">
        <v>16</v>
      </c>
      <c r="L4" t="s">
        <v>15</v>
      </c>
      <c r="M4" s="4">
        <f>=IF(ISBLANK(H4),L4,H4)</f>
      </c>
      <c r="N4" t="s">
        <v>17</v>
      </c>
    </row>
    <row r="5" spans="1:14" ht="39" customHeight="0">
      <c r="A5" s="5" t="s">
        <v>388</v>
      </c>
      <c r="B5" t="s">
        <v>18</v>
      </c>
      <c r="C5" t="s">
        <v>24</v>
      </c>
      <c r="D5" s="5" t="s">
        <v>389</v>
      </c>
      <c r="E5" t="s">
        <v>377</v>
      </c>
      <c r="G5" t="s">
        <v>15</v>
      </c>
      <c r="I5">
        <f>=AND(N5=TRUE(),OR(C5="😉 即将开始",C5="💪🏻 进行中",ISBLANK(C5),M5=TODAY()))</f>
      </c>
      <c r="J5" t="s">
        <v>20</v>
      </c>
      <c r="K5" t="s">
        <v>16</v>
      </c>
      <c r="L5" t="s">
        <v>15</v>
      </c>
      <c r="M5" s="4">
        <f>=IF(ISBLANK(H5),L5,H5)</f>
      </c>
      <c r="N5" t="s">
        <v>17</v>
      </c>
    </row>
    <row r="6" spans="1:14" ht="39" customHeight="0">
      <c r="A6" s="5" t="s">
        <v>390</v>
      </c>
      <c r="B6" t="s">
        <v>18</v>
      </c>
      <c r="C6" t="s">
        <v>25</v>
      </c>
      <c r="D6" s="5" t="s">
        <v>391</v>
      </c>
      <c r="E6" t="s">
        <v>378</v>
      </c>
      <c r="G6" t="s">
        <v>15</v>
      </c>
      <c r="I6">
        <f>=AND(N6=TRUE(),OR(C6="😉 即将开始",C6="💪🏻 进行中",ISBLANK(C6),M6=TODAY()))</f>
      </c>
      <c r="J6" t="s">
        <v>20</v>
      </c>
      <c r="K6" t="s">
        <v>16</v>
      </c>
      <c r="L6" t="s">
        <v>15</v>
      </c>
      <c r="M6" s="4">
        <f>=IF(ISBLANK(H6),L6,H6)</f>
      </c>
      <c r="N6" t="s">
        <v>17</v>
      </c>
    </row>
    <row r="7" spans="1:14" ht="39" customHeight="0">
      <c r="A7" t="s">
        <v>392</v>
      </c>
      <c r="B7" t="s">
        <v>18</v>
      </c>
      <c r="C7" t="s">
        <v>24</v>
      </c>
      <c r="D7" t="s">
        <v>393</v>
      </c>
      <c r="E7" t="s">
        <v>379</v>
      </c>
      <c r="G7" t="s">
        <v>15</v>
      </c>
      <c r="I7">
        <f>=AND(N7=TRUE(),OR(C7="😉 即将开始",C7="💪🏻 进行中",ISBLANK(C7),M7=TODAY()))</f>
      </c>
      <c r="J7" t="s">
        <v>20</v>
      </c>
      <c r="K7" t="s">
        <v>16</v>
      </c>
      <c r="L7" t="s">
        <v>15</v>
      </c>
      <c r="M7" s="4">
        <f>=IF(ISBLANK(H7),L7,H7)</f>
      </c>
      <c r="N7" t="s">
        <v>26</v>
      </c>
    </row>
  </sheetData>
  <hyperlinks>
    <hyperlink ref="E2" r:id="rId0"/>
    <hyperlink ref="E3" r:id="rId0"/>
    <hyperlink ref="E4" r:id="rId0"/>
    <hyperlink ref="E5" r:id="rId1"/>
    <hyperlink ref="E6" r:id="rId0"/>
    <hyperlink ref="E7" r:id="rId2"/>
  </hyperlinks>
</worksheet>
</file>

<file path=xl/worksheets/sheet4.xml><?xml version="1.0" encoding="utf-8"?>
<worksheet xmlns="http://schemas.openxmlformats.org/spreadsheetml/2006/main">
  <sheetPr>
    <tabColor rgb="FFFFFFFF"/>
  </sheetPr>
  <dimension ref="K14"/>
  <sheetViews>
    <sheetView workbookViewId="0">
      <pane xSplit="1" topLeftCell="B1" state="frozen"/>
    </sheetView>
  </sheetViews>
  <cols>
    <col min="1" max="1" width="45" customWidth="0"/>
    <col min="2" max="2" width="25" customWidth="0"/>
    <col min="3" max="4" width="19" hidden="1" customWidth="0"/>
    <col min="5" max="5" width="35" hidden="1" customWidth="0"/>
    <col min="6" max="7" width="19" hidden="1" customWidth="0"/>
    <col min="8" max="8" width="23" hidden="1" customWidth="0"/>
    <col min="9" max="9" width="17" customWidth="0"/>
    <col min="10" max="10" width="25" hidden="1" customWidth="0"/>
    <col min="11" max="11" width="19" hidden="1" customWidth="0"/>
  </cols>
  <sheetData>
    <row r="1" spans="1:11" ht="39" customHeight="0">
      <c r="A1" t="s">
        <v>110</v>
      </c>
      <c r="B1" t="s">
        <v>111</v>
      </c>
      <c r="C1" t="s">
        <v>112</v>
      </c>
      <c r="D1" t="s">
        <v>114</v>
      </c>
      <c r="E1" t="s">
        <v>106</v>
      </c>
      <c r="F1" t="s">
        <v>107</v>
      </c>
      <c r="G1" t="s">
        <v>115</v>
      </c>
      <c r="H1" t="s">
        <v>116</v>
      </c>
      <c r="I1" t="s">
        <v>113</v>
      </c>
      <c r="J1" t="s">
        <v>108</v>
      </c>
      <c r="K1" t="s">
        <v>109</v>
      </c>
    </row>
    <row r="2" spans="1:11" ht="39" customHeight="0">
      <c r="A2" s="5" t="s">
        <v>394</v>
      </c>
      <c r="B2" t="s">
        <v>119</v>
      </c>
      <c r="C2" s="15">
        <f>=F2</f>
      </c>
      <c r="D2" t="s">
        <v>117</v>
      </c>
      <c r="E2" t="s">
        <v>120</v>
      </c>
      <c r="F2" t="s">
        <v>121</v>
      </c>
      <c r="G2" s="14">
        <f>=F2*100</f>
      </c>
      <c r="H2">
        <f>=IF(G2=0,"⚪ ⚪ ⚪ ⚪ ⚪",IF(AND(G2&gt;0,G2&lt;20),"💪🏻 ⚪ ⚪ ⚪ ⚪",IF(AND(G2&gt;=20,G2&lt;40),"🏆 💪🏻 ⚪ ⚪ ⚪",IF(AND(G2&gt;=40,G2&lt;60),"🏆 🏆 💪🏻 ⚪ ⚪",IF(AND(G2&gt;=60,G2&lt;80),"🏆 🏆 🏆 💪🏻 ⚪",IF(AND(G2&gt;=80,G2&lt;100),"🏆 🏆 🏆 🏆 💪🏻","🏆 🏆 🏆 🏆 🏆"))))))</f>
      </c>
      <c r="I2" t="s">
        <v>118</v>
      </c>
      <c r="J2">
        <f>=IF(F2=1,_xlfn.CONCAT("完成时间：",K2),IF(F2=0,"任务未开始","任务进行中"))</f>
      </c>
      <c r="K2">
        <f>=_xlfn.CONCAT(YEAR(D2),"年",MONTH(D2),"月",DAY(D2),"日")</f>
      </c>
    </row>
    <row r="3" spans="1:11" ht="39" customHeight="0">
      <c r="A3" s="5" t="s">
        <v>395</v>
      </c>
      <c r="B3" t="s">
        <v>123</v>
      </c>
      <c r="C3" s="15">
        <f>=F3</f>
      </c>
      <c r="D3" t="s">
        <v>122</v>
      </c>
      <c r="E3" t="s">
        <v>124</v>
      </c>
      <c r="F3" t="s">
        <v>125</v>
      </c>
      <c r="G3" s="14">
        <f>=F3*100</f>
      </c>
      <c r="H3">
        <f>=IF(G3=0,"⚪ ⚪ ⚪ ⚪ ⚪",IF(AND(G3&gt;0,G3&lt;20),"💪🏻 ⚪ ⚪ ⚪ ⚪",IF(AND(G3&gt;=20,G3&lt;40),"🏆 💪🏻 ⚪ ⚪ ⚪",IF(AND(G3&gt;=40,G3&lt;60),"🏆 🏆 💪🏻 ⚪ ⚪",IF(AND(G3&gt;=60,G3&lt;80),"🏆 🏆 🏆 💪🏻 ⚪",IF(AND(G3&gt;=80,G3&lt;100),"🏆 🏆 🏆 🏆 💪🏻","🏆 🏆 🏆 🏆 🏆"))))))</f>
      </c>
      <c r="I3" t="s">
        <v>118</v>
      </c>
      <c r="J3">
        <f>=IF(F3=1,_xlfn.CONCAT("完成时间：",K3),IF(F3=0,"任务未开始","任务进行中"))</f>
      </c>
      <c r="K3">
        <f>=_xlfn.CONCAT(YEAR(D3),"年",MONTH(D3),"月",DAY(D3),"日")</f>
      </c>
    </row>
    <row r="4" spans="1:11" ht="39" customHeight="0">
      <c r="A4" s="5" t="s">
        <v>396</v>
      </c>
      <c r="B4" t="s">
        <v>123</v>
      </c>
      <c r="C4" s="15">
        <f>=F4</f>
      </c>
      <c r="D4" t="s">
        <v>128</v>
      </c>
      <c r="E4" t="s">
        <v>127</v>
      </c>
      <c r="F4" t="s">
        <v>126</v>
      </c>
      <c r="G4" s="14">
        <f>=F4*100</f>
      </c>
      <c r="H4">
        <f>=IF(G4=0,"⚪ ⚪ ⚪ ⚪ ⚪",IF(AND(G4&gt;0,G4&lt;20),"💪🏻 ⚪ ⚪ ⚪ ⚪",IF(AND(G4&gt;=20,G4&lt;40),"🏆 💪🏻 ⚪ ⚪ ⚪",IF(AND(G4&gt;=40,G4&lt;60),"🏆 🏆 💪🏻 ⚪ ⚪",IF(AND(G4&gt;=60,G4&lt;80),"🏆 🏆 🏆 💪🏻 ⚪",IF(AND(G4&gt;=80,G4&lt;100),"🏆 🏆 🏆 🏆 💪🏻","🏆 🏆 🏆 🏆 🏆"))))))</f>
      </c>
      <c r="I4" t="s">
        <v>118</v>
      </c>
      <c r="J4">
        <f>=IF(F4=1,_xlfn.CONCAT("完成时间：",K4),IF(F4=0,"任务未开始","任务进行中"))</f>
      </c>
      <c r="K4">
        <f>=_xlfn.CONCAT(YEAR(D4),"年",MONTH(D4),"月",DAY(D4),"日")</f>
      </c>
    </row>
    <row r="5" spans="1:11" ht="39" customHeight="0">
      <c r="A5" s="5" t="s">
        <v>397</v>
      </c>
      <c r="B5" t="s">
        <v>123</v>
      </c>
      <c r="C5" s="15">
        <f>=F5</f>
      </c>
      <c r="D5" t="s">
        <v>129</v>
      </c>
      <c r="E5" t="s">
        <v>130</v>
      </c>
      <c r="F5" t="s">
        <v>131</v>
      </c>
      <c r="G5" s="14">
        <f>=F5*100</f>
      </c>
      <c r="H5">
        <f>=IF(G5=0,"⚪ ⚪ ⚪ ⚪ ⚪",IF(AND(G5&gt;0,G5&lt;20),"💪🏻 ⚪ ⚪ ⚪ ⚪",IF(AND(G5&gt;=20,G5&lt;40),"🏆 💪🏻 ⚪ ⚪ ⚪",IF(AND(G5&gt;=40,G5&lt;60),"🏆 🏆 💪🏻 ⚪ ⚪",IF(AND(G5&gt;=60,G5&lt;80),"🏆 🏆 🏆 💪🏻 ⚪",IF(AND(G5&gt;=80,G5&lt;100),"🏆 🏆 🏆 🏆 💪🏻","🏆 🏆 🏆 🏆 🏆"))))))</f>
      </c>
      <c r="I5" t="s">
        <v>118</v>
      </c>
      <c r="J5">
        <f>=IF(F5=1,_xlfn.CONCAT("完成时间：",K5),IF(F5=0,"任务未开始","任务进行中"))</f>
      </c>
      <c r="K5">
        <f>=_xlfn.CONCAT(YEAR(D5),"年",MONTH(D5),"月",DAY(D5),"日")</f>
      </c>
    </row>
    <row r="6" spans="1:11" ht="39" customHeight="0">
      <c r="A6" s="5" t="s">
        <v>398</v>
      </c>
      <c r="B6" t="s">
        <v>123</v>
      </c>
      <c r="C6" s="15">
        <f>=F6</f>
      </c>
      <c r="D6" t="s">
        <v>134</v>
      </c>
      <c r="E6" t="s">
        <v>132</v>
      </c>
      <c r="F6" t="s">
        <v>133</v>
      </c>
      <c r="G6" s="14">
        <f>=F6*100</f>
      </c>
      <c r="H6">
        <f>=IF(G6=0,"⚪ ⚪ ⚪ ⚪ ⚪",IF(AND(G6&gt;0,G6&lt;20),"💪🏻 ⚪ ⚪ ⚪ ⚪",IF(AND(G6&gt;=20,G6&lt;40),"🏆 💪🏻 ⚪ ⚪ ⚪",IF(AND(G6&gt;=40,G6&lt;60),"🏆 🏆 💪🏻 ⚪ ⚪",IF(AND(G6&gt;=60,G6&lt;80),"🏆 🏆 🏆 💪🏻 ⚪",IF(AND(G6&gt;=80,G6&lt;100),"🏆 🏆 🏆 🏆 💪🏻","🏆 🏆 🏆 🏆 🏆"))))))</f>
      </c>
      <c r="I6" t="s">
        <v>118</v>
      </c>
      <c r="J6">
        <f>=IF(F6=1,_xlfn.CONCAT("完成时间：",K6),IF(F6=0,"任务未开始","任务进行中"))</f>
      </c>
      <c r="K6">
        <f>=_xlfn.CONCAT(YEAR(D6),"年",MONTH(D6),"月",DAY(D6),"日")</f>
      </c>
    </row>
    <row r="7" spans="1:11" ht="39" customHeight="0">
      <c r="A7" s="5" t="s">
        <v>399</v>
      </c>
      <c r="B7" t="s">
        <v>123</v>
      </c>
      <c r="C7" s="15">
        <f>=F7</f>
      </c>
      <c r="D7" t="s">
        <v>137</v>
      </c>
      <c r="E7" t="s">
        <v>135</v>
      </c>
      <c r="F7" t="s">
        <v>136</v>
      </c>
      <c r="G7" s="14">
        <f>=F7*100</f>
      </c>
      <c r="H7">
        <f>=IF(G7=0,"⚪ ⚪ ⚪ ⚪ ⚪",IF(AND(G7&gt;0,G7&lt;20),"💪🏻 ⚪ ⚪ ⚪ ⚪",IF(AND(G7&gt;=20,G7&lt;40),"🏆 💪🏻 ⚪ ⚪ ⚪",IF(AND(G7&gt;=40,G7&lt;60),"🏆 🏆 💪🏻 ⚪ ⚪",IF(AND(G7&gt;=60,G7&lt;80),"🏆 🏆 🏆 💪🏻 ⚪",IF(AND(G7&gt;=80,G7&lt;100),"🏆 🏆 🏆 🏆 💪🏻","🏆 🏆 🏆 🏆 🏆"))))))</f>
      </c>
      <c r="I7" t="s">
        <v>118</v>
      </c>
      <c r="J7">
        <f>=IF(F7=1,_xlfn.CONCAT("完成时间：",K7),IF(F7=0,"任务未开始","任务进行中"))</f>
      </c>
      <c r="K7">
        <f>=_xlfn.CONCAT(YEAR(D7),"年",MONTH(D7),"月",DAY(D7),"日")</f>
      </c>
    </row>
    <row r="8" spans="1:11" ht="39" customHeight="0">
      <c r="A8" s="5" t="s">
        <v>400</v>
      </c>
      <c r="B8" t="s">
        <v>123</v>
      </c>
      <c r="C8" s="15">
        <f>=F8</f>
      </c>
      <c r="D8" t="s">
        <v>140</v>
      </c>
      <c r="E8" t="s">
        <v>138</v>
      </c>
      <c r="F8" t="s">
        <v>139</v>
      </c>
      <c r="G8" s="14">
        <f>=F8*100</f>
      </c>
      <c r="H8">
        <f>=IF(G8=0,"⚪ ⚪ ⚪ ⚪ ⚪",IF(AND(G8&gt;0,G8&lt;20),"💪🏻 ⚪ ⚪ ⚪ ⚪",IF(AND(G8&gt;=20,G8&lt;40),"🏆 💪🏻 ⚪ ⚪ ⚪",IF(AND(G8&gt;=40,G8&lt;60),"🏆 🏆 💪🏻 ⚪ ⚪",IF(AND(G8&gt;=60,G8&lt;80),"🏆 🏆 🏆 💪🏻 ⚪",IF(AND(G8&gt;=80,G8&lt;100),"🏆 🏆 🏆 🏆 💪🏻","🏆 🏆 🏆 🏆 🏆"))))))</f>
      </c>
      <c r="I8" t="s">
        <v>118</v>
      </c>
      <c r="J8">
        <f>=IF(F8=1,_xlfn.CONCAT("完成时间：",K8),IF(F8=0,"任务未开始","任务进行中"))</f>
      </c>
      <c r="K8">
        <f>=_xlfn.CONCAT(YEAR(D8),"年",MONTH(D8),"月",DAY(D8),"日")</f>
      </c>
    </row>
    <row r="9" spans="1:11" ht="39" customHeight="0">
      <c r="A9" s="5" t="s">
        <v>401</v>
      </c>
      <c r="B9" t="s">
        <v>123</v>
      </c>
      <c r="C9" s="15">
        <f>=F9</f>
      </c>
      <c r="D9" t="s">
        <v>141</v>
      </c>
      <c r="E9" t="s">
        <v>142</v>
      </c>
      <c r="F9" t="s">
        <v>143</v>
      </c>
      <c r="G9" s="14">
        <f>=F9*100</f>
      </c>
      <c r="H9">
        <f>=IF(G9=0,"⚪ ⚪ ⚪ ⚪ ⚪",IF(AND(G9&gt;0,G9&lt;20),"💪🏻 ⚪ ⚪ ⚪ ⚪",IF(AND(G9&gt;=20,G9&lt;40),"🏆 💪🏻 ⚪ ⚪ ⚪",IF(AND(G9&gt;=40,G9&lt;60),"🏆 🏆 💪🏻 ⚪ ⚪",IF(AND(G9&gt;=60,G9&lt;80),"🏆 🏆 🏆 💪🏻 ⚪",IF(AND(G9&gt;=80,G9&lt;100),"🏆 🏆 🏆 🏆 💪🏻","🏆 🏆 🏆 🏆 🏆"))))))</f>
      </c>
      <c r="I9" t="s">
        <v>118</v>
      </c>
      <c r="J9">
        <f>=IF(F9=1,_xlfn.CONCAT("完成时间：",K9),IF(F9=0,"任务未开始","任务进行中"))</f>
      </c>
      <c r="K9">
        <f>=_xlfn.CONCAT(YEAR(D9),"年",MONTH(D9),"月",DAY(D9),"日")</f>
      </c>
    </row>
    <row r="10" spans="1:11" ht="39" customHeight="0">
      <c r="A10" s="5" t="s">
        <v>402</v>
      </c>
      <c r="B10" t="s">
        <v>123</v>
      </c>
      <c r="C10" s="15">
        <f>=F10</f>
      </c>
      <c r="D10" t="s">
        <v>144</v>
      </c>
      <c r="E10" t="s">
        <v>145</v>
      </c>
      <c r="F10" t="s">
        <v>146</v>
      </c>
      <c r="G10" s="14">
        <f>=F10*100</f>
      </c>
      <c r="H10">
        <f>=IF(G10=0,"⚪ ⚪ ⚪ ⚪ ⚪",IF(AND(G10&gt;0,G10&lt;20),"💪🏻 ⚪ ⚪ ⚪ ⚪",IF(AND(G10&gt;=20,G10&lt;40),"🏆 💪🏻 ⚪ ⚪ ⚪",IF(AND(G10&gt;=40,G10&lt;60),"🏆 🏆 💪🏻 ⚪ ⚪",IF(AND(G10&gt;=60,G10&lt;80),"🏆 🏆 🏆 💪🏻 ⚪",IF(AND(G10&gt;=80,G10&lt;100),"🏆 🏆 🏆 🏆 💪🏻","🏆 🏆 🏆 🏆 🏆"))))))</f>
      </c>
      <c r="I10" t="s">
        <v>118</v>
      </c>
      <c r="J10">
        <f>=IF(F10=1,_xlfn.CONCAT("完成时间：",K10),IF(F10=0,"任务未开始","任务进行中"))</f>
      </c>
      <c r="K10">
        <f>=_xlfn.CONCAT(YEAR(D10),"年",MONTH(D10),"月",DAY(D10),"日")</f>
      </c>
    </row>
    <row r="11" spans="1:11" ht="39" customHeight="0">
      <c r="A11" s="5" t="s">
        <v>403</v>
      </c>
      <c r="B11" t="s">
        <v>123</v>
      </c>
      <c r="C11" s="15">
        <f>=F11</f>
      </c>
      <c r="D11" t="s">
        <v>149</v>
      </c>
      <c r="E11" t="s">
        <v>147</v>
      </c>
      <c r="F11" t="s">
        <v>148</v>
      </c>
      <c r="G11" s="14">
        <f>=F11*100</f>
      </c>
      <c r="H11">
        <f>=IF(G11=0,"⚪ ⚪ ⚪ ⚪ ⚪",IF(AND(G11&gt;0,G11&lt;20),"💪🏻 ⚪ ⚪ ⚪ ⚪",IF(AND(G11&gt;=20,G11&lt;40),"🏆 💪🏻 ⚪ ⚪ ⚪",IF(AND(G11&gt;=40,G11&lt;60),"🏆 🏆 💪🏻 ⚪ ⚪",IF(AND(G11&gt;=60,G11&lt;80),"🏆 🏆 🏆 💪🏻 ⚪",IF(AND(G11&gt;=80,G11&lt;100),"🏆 🏆 🏆 🏆 💪🏻","🏆 🏆 🏆 🏆 🏆"))))))</f>
      </c>
      <c r="I11" t="s">
        <v>118</v>
      </c>
      <c r="J11">
        <f>=IF(F11=1,_xlfn.CONCAT("完成时间：",K11),IF(F11=0,"任务未开始","任务进行中"))</f>
      </c>
      <c r="K11">
        <f>=_xlfn.CONCAT(YEAR(D11),"年",MONTH(D11),"月",DAY(D11),"日")</f>
      </c>
    </row>
    <row r="12" spans="1:11" ht="39" customHeight="0">
      <c r="A12" s="5" t="s">
        <v>404</v>
      </c>
      <c r="B12" t="s">
        <v>123</v>
      </c>
      <c r="C12" s="15">
        <f>=F12</f>
      </c>
      <c r="D12" t="s">
        <v>152</v>
      </c>
      <c r="E12" t="s">
        <v>150</v>
      </c>
      <c r="F12" t="s">
        <v>151</v>
      </c>
      <c r="G12" s="14">
        <f>=F12*100</f>
      </c>
      <c r="H12">
        <f>=IF(G12=0,"⚪ ⚪ ⚪ ⚪ ⚪",IF(AND(G12&gt;0,G12&lt;20),"💪🏻 ⚪ ⚪ ⚪ ⚪",IF(AND(G12&gt;=20,G12&lt;40),"🏆 💪🏻 ⚪ ⚪ ⚪",IF(AND(G12&gt;=40,G12&lt;60),"🏆 🏆 💪🏻 ⚪ ⚪",IF(AND(G12&gt;=60,G12&lt;80),"🏆 🏆 🏆 💪🏻 ⚪",IF(AND(G12&gt;=80,G12&lt;100),"🏆 🏆 🏆 🏆 💪🏻","🏆 🏆 🏆 🏆 🏆"))))))</f>
      </c>
      <c r="I12" t="s">
        <v>118</v>
      </c>
      <c r="J12">
        <f>=IF(F12=1,_xlfn.CONCAT("完成时间：",K12),IF(F12=0,"任务未开始","任务进行中"))</f>
      </c>
      <c r="K12">
        <f>=_xlfn.CONCAT(YEAR(D12),"年",MONTH(D12),"月",DAY(D12),"日")</f>
      </c>
    </row>
    <row r="13" spans="1:11" ht="39" customHeight="0">
      <c r="A13" s="5" t="s">
        <v>405</v>
      </c>
      <c r="B13" t="s">
        <v>154</v>
      </c>
      <c r="C13" s="15">
        <f>=F13</f>
      </c>
      <c r="D13" t="s">
        <v>153</v>
      </c>
      <c r="E13" t="s">
        <v>155</v>
      </c>
      <c r="F13" t="s">
        <v>156</v>
      </c>
      <c r="G13" s="14">
        <f>=F13*100</f>
      </c>
      <c r="H13">
        <f>=IF(G13=0,"⚪ ⚪ ⚪ ⚪ ⚪",IF(AND(G13&gt;0,G13&lt;20),"💪🏻 ⚪ ⚪ ⚪ ⚪",IF(AND(G13&gt;=20,G13&lt;40),"🏆 💪🏻 ⚪ ⚪ ⚪",IF(AND(G13&gt;=40,G13&lt;60),"🏆 🏆 💪🏻 ⚪ ⚪",IF(AND(G13&gt;=60,G13&lt;80),"🏆 🏆 🏆 💪🏻 ⚪",IF(AND(G13&gt;=80,G13&lt;100),"🏆 🏆 🏆 🏆 💪🏻","🏆 🏆 🏆 🏆 🏆"))))))</f>
      </c>
      <c r="I13" t="s">
        <v>118</v>
      </c>
      <c r="J13">
        <f>=IF(F13=1,_xlfn.CONCAT("完成时间：",K13),IF(F13=0,"任务未开始","任务进行中"))</f>
      </c>
      <c r="K13">
        <f>=_xlfn.CONCAT(YEAR(D13),"年",MONTH(D13),"月",DAY(D13),"日")</f>
      </c>
    </row>
    <row r="14" spans="1:11" ht="39" customHeight="0">
      <c r="A14" s="5" t="s">
        <v>406</v>
      </c>
      <c r="B14" t="s">
        <v>157</v>
      </c>
      <c r="C14" s="15">
        <f>=F14</f>
      </c>
      <c r="D14" t="s">
        <v>160</v>
      </c>
      <c r="E14" t="s">
        <v>158</v>
      </c>
      <c r="F14" t="s">
        <v>159</v>
      </c>
      <c r="G14" s="14">
        <f>=F14*100</f>
      </c>
      <c r="H14">
        <f>=IF(G14=0,"⚪ ⚪ ⚪ ⚪ ⚪",IF(AND(G14&gt;0,G14&lt;20),"💪🏻 ⚪ ⚪ ⚪ ⚪",IF(AND(G14&gt;=20,G14&lt;40),"🏆 💪🏻 ⚪ ⚪ ⚪",IF(AND(G14&gt;=40,G14&lt;60),"🏆 🏆 💪🏻 ⚪ ⚪",IF(AND(G14&gt;=60,G14&lt;80),"🏆 🏆 🏆 💪🏻 ⚪",IF(AND(G14&gt;=80,G14&lt;100),"🏆 🏆 🏆 🏆 💪🏻","🏆 🏆 🏆 🏆 🏆"))))))</f>
      </c>
      <c r="J14">
        <f>=IF(F14=1,_xlfn.CONCAT("完成时间：",K14),IF(F14=0,"任务未开始","任务进行中"))</f>
      </c>
      <c r="K14">
        <f>=_xlfn.CONCAT(YEAR(D14),"年",MONTH(D14),"月",DAY(D14),"日")</f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G4"/>
  <sheetViews>
    <sheetView workbookViewId="0">
      <pane xSplit="1" topLeftCell="B1" state="frozen"/>
    </sheetView>
  </sheetViews>
  <cols>
    <col min="1" max="1" width="25" customWidth="0"/>
    <col min="2" max="2" width="29" hidden="1" customWidth="0"/>
    <col min="3" max="3" width="19" hidden="1" customWidth="0"/>
    <col min="4" max="4" width="19" customWidth="0"/>
    <col min="5" max="5" width="22" customWidth="0"/>
    <col min="6" max="6" width="19" customWidth="0"/>
    <col min="7" max="7" width="34" customWidth="0"/>
  </cols>
  <sheetData>
    <row r="1" spans="1:7" ht="39" customHeight="0">
      <c r="A1" t="s">
        <v>110</v>
      </c>
      <c r="B1" t="s">
        <v>338</v>
      </c>
      <c r="C1" t="s">
        <v>339</v>
      </c>
      <c r="D1" t="s">
        <v>340</v>
      </c>
      <c r="E1" t="s">
        <v>341</v>
      </c>
      <c r="F1" t="s">
        <v>336</v>
      </c>
      <c r="G1" t="s">
        <v>337</v>
      </c>
    </row>
    <row r="2" spans="1:7" ht="39" customHeight="0">
      <c r="A2" s="5" t="s">
        <v>835</v>
      </c>
      <c r="B2" t="s">
        <v>342</v>
      </c>
      <c r="C2" t="s">
        <v>343</v>
      </c>
      <c r="D2" s="15">
        <f>=C2</f>
      </c>
      <c r="E2" t="s">
        <v>832</v>
      </c>
      <c r="F2" t="s">
        <v>344</v>
      </c>
      <c r="G2">
        <f>=IF(D2=1,"点击上方链接即可申请考核",_xlfn.CONCAT("当前学习进度为 ",INT(D2*100),"%， 不可申请"))</f>
      </c>
    </row>
    <row r="3" spans="1:7" ht="39" customHeight="0">
      <c r="A3" s="5" t="s">
        <v>836</v>
      </c>
      <c r="B3" t="s">
        <v>346</v>
      </c>
      <c r="C3" t="s">
        <v>345</v>
      </c>
      <c r="D3" s="15">
        <f>=C3</f>
      </c>
      <c r="E3" t="s">
        <v>833</v>
      </c>
      <c r="F3" t="s">
        <v>344</v>
      </c>
      <c r="G3">
        <f>=IF(D3=1,"点击上方链接即可申请考核",_xlfn.CONCAT("当前学习进度为 ",INT(D3*100),"%， 不可申请"))</f>
      </c>
    </row>
    <row r="4" spans="1:7" ht="39" customHeight="0">
      <c r="A4" s="5" t="s">
        <v>837</v>
      </c>
      <c r="B4" t="s">
        <v>328</v>
      </c>
      <c r="C4" t="s">
        <v>347</v>
      </c>
      <c r="D4" s="15">
        <f>=C4</f>
      </c>
      <c r="E4" t="s">
        <v>834</v>
      </c>
      <c r="F4" t="s">
        <v>344</v>
      </c>
      <c r="G4">
        <f>=IF(D4=1,"点击上方链接即可申请考核",_xlfn.CONCAT("当前学习进度为 ",INT(D4*100),"%， 不可申请"))</f>
      </c>
    </row>
  </sheetData>
  <hyperlinks>
    <hyperlink ref="E2" r:id="rId0"/>
    <hyperlink ref="E3" r:id="rId1"/>
    <hyperlink ref="E4" r:id="rId1"/>
  </hyperlinks>
</worksheet>
</file>

<file path=xl/worksheets/sheet6.xml><?xml version="1.0" encoding="utf-8"?>
<worksheet xmlns:r="http://schemas.openxmlformats.org/officeDocument/2006/relationships" xmlns="http://schemas.openxmlformats.org/spreadsheetml/2006/main">
  <sheetPr/>
  <dimension ref="H12"/>
  <sheetViews>
    <sheetView workbookViewId="0"/>
  </sheetViews>
  <cols>
    <col min="1" max="1" width="14" customWidth="0"/>
    <col min="2" max="2" width="10" customWidth="0"/>
    <col min="3" max="3" width="12" customWidth="0"/>
    <col min="4" max="4" width="9" customWidth="0"/>
    <col min="5" max="5" width="12" customWidth="0"/>
    <col min="6" max="6" width="9" customWidth="0"/>
    <col min="7" max="7" width="16" customWidth="0"/>
    <col min="8" max="8" width="40" customWidth="0"/>
    <col min="9" max="9" width="48" customWidth="0"/>
    <col min="10" max="10" width="14" customWidth="0"/>
  </cols>
  <sheetData>
    <row r="1" spans="1:10" ht="39" customHeight="0">
      <c r="A1" t="s">
        <v>352</v>
      </c>
      <c r="B1" t="s">
        <v>348</v>
      </c>
      <c r="C1" t="s">
        <v>356</v>
      </c>
      <c r="D1" t="s">
        <v>349</v>
      </c>
      <c r="E1" t="s">
        <v>353</v>
      </c>
      <c r="F1" t="s">
        <v>354</v>
      </c>
      <c r="G1" t="s">
        <v>350</v>
      </c>
      <c r="H1" t="s">
        <v>355</v>
      </c>
      <c r="I1" t="s">
        <v>351</v>
      </c>
      <c r="J1" t="s">
        <v>5</v>
      </c>
    </row>
    <row r="2" spans="1:9" ht="39" customHeight="0">
      <c r="A2" t="s">
        <v>357</v>
      </c>
      <c r="B2" t="s">
        <v>358</v>
      </c>
      <c r="C2" s="5" t="s">
        <v>846</v>
      </c>
      <c r="D2" t="s">
        <v>359</v>
      </c>
      <c r="E2" t="s">
        <v>359</v>
      </c>
      <c r="G2" t="s">
        <v>360</v>
      </c>
      <c r="H2" s="5" t="s">
        <v>847</v>
      </c>
      <c r="I2" t="s">
        <v>838</v>
      </c>
    </row>
    <row r="3" spans="1:9" ht="39" customHeight="0">
      <c r="A3" t="s">
        <v>357</v>
      </c>
      <c r="B3" t="s">
        <v>358</v>
      </c>
      <c r="C3" s="5" t="s">
        <v>849</v>
      </c>
      <c r="D3" t="s">
        <v>359</v>
      </c>
      <c r="E3" t="s">
        <v>359</v>
      </c>
      <c r="G3" t="s">
        <v>361</v>
      </c>
      <c r="H3" t="s">
        <v>848</v>
      </c>
      <c r="I3" t="s">
        <v>839</v>
      </c>
    </row>
    <row r="4" spans="1:9" ht="39" customHeight="0">
      <c r="A4" t="s">
        <v>357</v>
      </c>
      <c r="B4" t="s">
        <v>363</v>
      </c>
      <c r="C4" s="5" t="s">
        <v>850</v>
      </c>
      <c r="D4" t="s">
        <v>359</v>
      </c>
      <c r="E4" t="s">
        <v>359</v>
      </c>
      <c r="F4" t="s">
        <v>362</v>
      </c>
      <c r="G4" t="s">
        <v>364</v>
      </c>
      <c r="H4" s="5" t="s">
        <v>851</v>
      </c>
      <c r="I4" t="s">
        <v>840</v>
      </c>
    </row>
    <row r="5" spans="1:9" ht="39" customHeight="0">
      <c r="A5" t="s">
        <v>357</v>
      </c>
      <c r="B5" t="s">
        <v>363</v>
      </c>
      <c r="C5" s="5" t="s">
        <v>852</v>
      </c>
      <c r="D5" t="s">
        <v>359</v>
      </c>
      <c r="E5" t="s">
        <v>359</v>
      </c>
      <c r="F5" t="s">
        <v>362</v>
      </c>
      <c r="G5" t="s">
        <v>365</v>
      </c>
      <c r="H5" s="5" t="s">
        <v>853</v>
      </c>
      <c r="I5" t="s">
        <v>841</v>
      </c>
    </row>
    <row r="6" spans="1:9" ht="39" customHeight="0">
      <c r="A6" t="s">
        <v>357</v>
      </c>
      <c r="B6" t="s">
        <v>363</v>
      </c>
      <c r="C6" s="5" t="s">
        <v>854</v>
      </c>
      <c r="D6" t="s">
        <v>359</v>
      </c>
      <c r="E6" t="s">
        <v>359</v>
      </c>
      <c r="G6" t="s">
        <v>366</v>
      </c>
      <c r="H6" s="5" t="s">
        <v>855</v>
      </c>
      <c r="I6" t="s">
        <v>842</v>
      </c>
    </row>
    <row r="7" spans="1:9" ht="39" customHeight="0">
      <c r="A7" t="s">
        <v>357</v>
      </c>
      <c r="B7" t="s">
        <v>363</v>
      </c>
      <c r="C7" s="5" t="s">
        <v>856</v>
      </c>
      <c r="D7" t="s">
        <v>359</v>
      </c>
      <c r="E7" t="s">
        <v>359</v>
      </c>
      <c r="G7" t="s">
        <v>367</v>
      </c>
      <c r="H7" s="5" t="s">
        <v>855</v>
      </c>
      <c r="I7" t="s">
        <v>843</v>
      </c>
    </row>
    <row r="8" spans="1:9" ht="39" customHeight="0">
      <c r="A8" t="s">
        <v>357</v>
      </c>
      <c r="B8" t="s">
        <v>363</v>
      </c>
      <c r="C8" s="5" t="s">
        <v>858</v>
      </c>
      <c r="D8" t="s">
        <v>359</v>
      </c>
      <c r="E8" t="s">
        <v>359</v>
      </c>
      <c r="G8" t="s">
        <v>368</v>
      </c>
      <c r="H8" t="s">
        <v>857</v>
      </c>
      <c r="I8" t="s">
        <v>844</v>
      </c>
    </row>
    <row r="9" spans="1:9" ht="39" customHeight="0">
      <c r="A9" t="s">
        <v>357</v>
      </c>
      <c r="B9" t="s">
        <v>363</v>
      </c>
      <c r="C9" s="5" t="s">
        <v>859</v>
      </c>
      <c r="D9" t="s">
        <v>359</v>
      </c>
      <c r="E9" t="s">
        <v>359</v>
      </c>
      <c r="G9" t="s">
        <v>369</v>
      </c>
      <c r="H9" t="s">
        <v>860</v>
      </c>
      <c r="I9" t="s">
        <v>845</v>
      </c>
    </row>
    <row r="10" spans="1:8" ht="39" customHeight="0">
      <c r="A10" t="s">
        <v>370</v>
      </c>
      <c r="B10" t="s">
        <v>358</v>
      </c>
      <c r="C10" s="18" t="s">
        <v>861</v>
      </c>
      <c r="D10" t="s">
        <v>359</v>
      </c>
      <c r="E10" t="s">
        <v>359</v>
      </c>
      <c r="G10" t="s">
        <v>344</v>
      </c>
      <c r="H10" t="s">
        <v>862</v>
      </c>
    </row>
    <row r="11" spans="1:8" ht="39" customHeight="0">
      <c r="A11" t="s">
        <v>357</v>
      </c>
      <c r="B11" t="s">
        <v>358</v>
      </c>
      <c r="C11" s="5" t="s">
        <v>863</v>
      </c>
      <c r="D11" t="s">
        <v>359</v>
      </c>
      <c r="E11" t="s">
        <v>359</v>
      </c>
      <c r="G11" t="s">
        <v>371</v>
      </c>
      <c r="H11" s="5" t="s">
        <v>864</v>
      </c>
    </row>
    <row r="12" spans="1:8" ht="39" customHeight="0">
      <c r="A12" t="s">
        <v>357</v>
      </c>
      <c r="B12" t="s">
        <v>358</v>
      </c>
      <c r="C12" s="5" t="s">
        <v>865</v>
      </c>
      <c r="D12" t="s">
        <v>359</v>
      </c>
      <c r="E12" t="s">
        <v>373</v>
      </c>
      <c r="F12" t="s">
        <v>373</v>
      </c>
      <c r="G12" t="s">
        <v>372</v>
      </c>
      <c r="H12" s="5" t="s">
        <v>866</v>
      </c>
    </row>
  </sheetData>
  <hyperlinks>
    <hyperlink ref="I2" r:id="rId0"/>
    <hyperlink ref="I3" r:id="rId1"/>
    <hyperlink ref="I4" r:id="rId2"/>
    <hyperlink ref="I5" r:id="rId3"/>
    <hyperlink ref="I6" r:id="rId4"/>
    <hyperlink ref="I7" r:id="rId5"/>
    <hyperlink ref="I8" r:id="rId6"/>
    <hyperlink ref="I9" r:id="rId7"/>
  </hyperlinks>
</worksheet>
</file>

<file path=xl/worksheets/sheet7.xml><?xml version="1.0" encoding="utf-8"?>
<worksheet xmlns="http://schemas.openxmlformats.org/spreadsheetml/2006/main">
  <sheetPr codeName="NPC性能评估结果">
    <tabColor/>
  </sheetPr>
  <dimension ref="U10"/>
  <sheetViews>
    <sheetView showGridLines="1" workbookViewId="0"/>
  </sheetViews>
  <sheetFormatPr baseColWidth="13" defaultRowHeight="18" customHeight="1"/>
  <cols>
    <col min="3" max="3" width="46.4023" style="3" customWidth="1"/>
    <col min="9" max="9" width="21.8516" customWidth="1"/>
    <col min="10" max="10" width="20.2344" customWidth="1"/>
    <col min="11" max="11" width="29.2734" customWidth="1"/>
    <col min="12" max="12" width="18.2109" customWidth="1"/>
    <col min="14" max="14" width="25.2227" customWidth="1"/>
    <col min="15" max="15" width="23.0625" customWidth="1"/>
    <col min="16" max="16" width="28.5938" customWidth="1"/>
    <col min="17" max="17" width="17.8008" customWidth="1"/>
    <col min="18" max="18" width="17.6719" customWidth="1"/>
    <col min="19" max="19" width="17.4023" customWidth="1"/>
    <col min="20" max="20" width="16.7227" customWidth="1"/>
    <col min="21" max="21" width="18.2109" customWidth="1"/>
    <col min="22" max="22" width="11.8711" customWidth="1"/>
  </cols>
  <sheetData>
    <row r="1" spans="1:22">
      <c r="A1" s="6" t="s">
        <v>27</v>
      </c>
      <c r="B1" s="6" t="s">
        <v>28</v>
      </c>
      <c r="C1" s="6" t="s">
        <v>29</v>
      </c>
      <c r="D1" s="7" t="s">
        <v>30</v>
      </c>
      <c r="E1" s="7" t="s">
        <v>31</v>
      </c>
      <c r="F1" s="7" t="s">
        <v>32</v>
      </c>
      <c r="G1" s="8" t="s">
        <v>33</v>
      </c>
      <c r="H1" s="7" t="s">
        <v>34</v>
      </c>
      <c r="I1" s="9" t="s">
        <v>35</v>
      </c>
      <c r="J1" s="7" t="s">
        <v>36</v>
      </c>
      <c r="K1" s="7" t="s">
        <v>37</v>
      </c>
      <c r="L1" s="7" t="s">
        <v>38</v>
      </c>
      <c r="M1" s="7" t="s">
        <v>39</v>
      </c>
      <c r="N1" s="7" t="s">
        <v>40</v>
      </c>
      <c r="O1" s="6" t="s">
        <v>41</v>
      </c>
      <c r="P1" s="6" t="s">
        <v>42</v>
      </c>
      <c r="Q1" s="10" t="s">
        <v>43</v>
      </c>
      <c r="R1" s="10" t="s">
        <v>44</v>
      </c>
      <c r="S1" s="10" t="s">
        <v>45</v>
      </c>
      <c r="T1" s="10" t="s">
        <v>46</v>
      </c>
      <c r="U1" s="10" t="s">
        <v>47</v>
      </c>
      <c r="V1" s="6" t="s"/>
    </row>
    <row r="2" spans="1:21" ht="80.25" customHeight="1">
      <c r="A2">
        <v>1</v>
      </c>
      <c r="B2" s="10" t="s">
        <v>48</v>
      </c>
      <c r="C2" s="11" t="s">
        <v>49</v>
      </c>
      <c r="D2" s="10">
        <v>22600630293</v>
      </c>
      <c r="E2" s="10">
        <v>195225973</v>
      </c>
      <c r="F2" s="10">
        <v>0.009</v>
      </c>
      <c r="G2" s="10">
        <v>115.767</v>
      </c>
      <c r="H2" s="10" t="s">
        <v>50</v>
      </c>
      <c r="I2" s="10" t="s">
        <v>51</v>
      </c>
      <c r="J2" s="10" t="s">
        <v>51</v>
      </c>
      <c r="K2" s="10" t="s">
        <v>51</v>
      </c>
      <c r="L2" s="10" t="s">
        <v>51</v>
      </c>
      <c r="M2" s="10">
        <v>17816.148</v>
      </c>
      <c r="N2" s="10">
        <v>49.85</v>
      </c>
      <c r="O2" s="10">
        <v>97.96</v>
      </c>
      <c r="Q2" s="10" t="s">
        <v>52</v>
      </c>
      <c r="R2" s="10" t="s">
        <v>53</v>
      </c>
      <c r="S2" s="10" t="s">
        <v>54</v>
      </c>
      <c r="T2" s="10" t="s">
        <v>55</v>
      </c>
      <c r="U2" t="s">
        <v>56</v>
      </c>
    </row>
    <row r="3" spans="1:21">
      <c r="A3">
        <v>2</v>
      </c>
      <c r="B3" s="10" t="s">
        <v>57</v>
      </c>
      <c r="C3" t="s">
        <v>58</v>
      </c>
      <c r="D3" s="10">
        <v>26324843595</v>
      </c>
      <c r="E3" s="10">
        <v>195226803</v>
      </c>
      <c r="F3" s="10">
        <v>0.007</v>
      </c>
      <c r="G3" s="10">
        <v>134.842</v>
      </c>
      <c r="H3" s="10" t="s">
        <v>59</v>
      </c>
      <c r="I3" s="10" t="s">
        <v>51</v>
      </c>
      <c r="J3" s="10" t="s">
        <v>51</v>
      </c>
      <c r="K3" s="10" t="s">
        <v>51</v>
      </c>
      <c r="L3" s="10" t="s">
        <v>51</v>
      </c>
      <c r="M3" s="10">
        <v>25108.804</v>
      </c>
      <c r="N3" s="10">
        <v>52.82</v>
      </c>
      <c r="O3" s="10">
        <v>116.69</v>
      </c>
      <c r="Q3" s="10" t="s">
        <v>60</v>
      </c>
      <c r="R3" s="10" t="s">
        <v>61</v>
      </c>
      <c r="S3" s="10" t="s">
        <v>62</v>
      </c>
      <c r="T3" s="10" t="s">
        <v>63</v>
      </c>
      <c r="U3" s="10" t="s">
        <v>64</v>
      </c>
    </row>
    <row r="4" spans="1:21" ht="34.5" customHeight="1">
      <c r="A4">
        <v>3</v>
      </c>
      <c r="B4" s="10" t="s">
        <v>65</v>
      </c>
      <c r="C4" s="12" t="s">
        <v>66</v>
      </c>
      <c r="D4" s="10">
        <v>5420315991</v>
      </c>
      <c r="E4" s="10">
        <v>195218881</v>
      </c>
      <c r="F4" s="10">
        <v>0.036</v>
      </c>
      <c r="G4" s="10">
        <v>27.765</v>
      </c>
      <c r="H4" s="10" t="s">
        <v>67</v>
      </c>
      <c r="I4" s="10" t="s">
        <v>51</v>
      </c>
      <c r="J4" s="10" t="s">
        <v>51</v>
      </c>
      <c r="K4" s="10" t="s">
        <v>51</v>
      </c>
      <c r="L4" s="10" t="s">
        <v>51</v>
      </c>
      <c r="M4" s="10">
        <v>18548.712</v>
      </c>
      <c r="N4" s="10">
        <v>24.01</v>
      </c>
      <c r="O4" s="10">
        <v>12.97</v>
      </c>
      <c r="Q4" s="10" t="s">
        <v>68</v>
      </c>
      <c r="R4" s="10" t="s">
        <v>69</v>
      </c>
      <c r="S4" s="10" t="s">
        <v>70</v>
      </c>
      <c r="T4" s="10" t="s">
        <v>71</v>
      </c>
      <c r="U4" s="10" t="s">
        <v>72</v>
      </c>
    </row>
    <row r="5" spans="1:21" ht="30.75" customHeight="1">
      <c r="A5">
        <v>4</v>
      </c>
      <c r="B5" s="10" t="s">
        <v>73</v>
      </c>
      <c r="C5" s="13" t="s">
        <v>74</v>
      </c>
      <c r="D5" s="10">
        <v>4101627921</v>
      </c>
      <c r="E5" s="10">
        <v>195217880</v>
      </c>
      <c r="F5" s="10">
        <v>0.048</v>
      </c>
      <c r="G5" s="10">
        <v>21.011</v>
      </c>
      <c r="H5" s="10" t="s">
        <v>75</v>
      </c>
      <c r="I5" s="10" t="s">
        <v>51</v>
      </c>
      <c r="J5" s="10" t="s">
        <v>51</v>
      </c>
      <c r="K5" s="10" t="s">
        <v>51</v>
      </c>
      <c r="L5" s="10" t="s">
        <v>51</v>
      </c>
      <c r="M5" s="10">
        <v>18961.278</v>
      </c>
      <c r="N5" s="10">
        <v>6.92</v>
      </c>
      <c r="O5" s="10">
        <v>6.25</v>
      </c>
      <c r="Q5" s="10" t="s">
        <v>76</v>
      </c>
      <c r="R5" s="10" t="s">
        <v>77</v>
      </c>
      <c r="S5" s="10" t="s">
        <v>78</v>
      </c>
      <c r="T5" s="10" t="s">
        <v>79</v>
      </c>
      <c r="U5" s="10" t="s">
        <v>80</v>
      </c>
    </row>
    <row r="6" spans="1:22" ht="90" customHeight="1">
      <c r="A6">
        <v>5</v>
      </c>
      <c r="B6" t="s">
        <v>81</v>
      </c>
      <c r="C6" s="13" t="s">
        <v>82</v>
      </c>
      <c r="D6" s="10">
        <v>3711091030</v>
      </c>
      <c r="E6" s="10">
        <v>195217526</v>
      </c>
      <c r="F6" s="10">
        <v>0.053</v>
      </c>
      <c r="G6" s="10">
        <v>19.01</v>
      </c>
      <c r="H6">
        <v>727.171</v>
      </c>
      <c r="I6" s="10" t="s">
        <v>51</v>
      </c>
      <c r="J6" s="10" t="s">
        <v>51</v>
      </c>
      <c r="K6" s="10" t="s">
        <v>51</v>
      </c>
      <c r="L6" s="10" t="s">
        <v>51</v>
      </c>
      <c r="M6">
        <v>22892.758</v>
      </c>
      <c r="N6" s="10">
        <v>7.47</v>
      </c>
      <c r="O6" s="10">
        <v>6.28</v>
      </c>
      <c r="P6" s="10">
        <v>43.99</v>
      </c>
      <c r="Q6" s="10" t="s"/>
      <c r="V6" s="10" t="s"/>
    </row>
    <row r="7" spans="1:21">
      <c r="A7">
        <v>6</v>
      </c>
      <c r="B7" t="s">
        <v>83</v>
      </c>
      <c r="C7" s="13" t="s">
        <v>84</v>
      </c>
      <c r="D7" s="10">
        <v>2400455641</v>
      </c>
      <c r="E7" s="10">
        <v>237876304</v>
      </c>
      <c r="F7" s="10">
        <v>0.099</v>
      </c>
      <c r="G7" s="10">
        <v>10.091</v>
      </c>
      <c r="H7" s="10">
        <v>750.227</v>
      </c>
      <c r="I7" s="10" t="s">
        <v>85</v>
      </c>
      <c r="J7" s="10" t="s">
        <v>86</v>
      </c>
      <c r="K7" s="10" t="s">
        <v>51</v>
      </c>
      <c r="L7" s="10" t="s">
        <v>87</v>
      </c>
      <c r="M7" s="10">
        <v>23970.324</v>
      </c>
      <c r="N7" t="s">
        <v>88</v>
      </c>
      <c r="O7" t="s">
        <v>88</v>
      </c>
      <c r="P7" t="s">
        <v>88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</row>
    <row r="8" spans="1:21">
      <c r="A8">
        <v>7</v>
      </c>
      <c r="B8" t="s">
        <v>89</v>
      </c>
      <c r="C8" t="s">
        <v>90</v>
      </c>
      <c r="D8" s="10">
        <v>2046910316</v>
      </c>
      <c r="E8" s="10">
        <v>323195071</v>
      </c>
      <c r="F8" s="10">
        <v>0.158</v>
      </c>
      <c r="G8" s="10">
        <v>6.333</v>
      </c>
      <c r="H8">
        <v>752.562</v>
      </c>
      <c r="I8" s="10" t="s">
        <v>91</v>
      </c>
      <c r="J8" s="10" t="s">
        <v>92</v>
      </c>
      <c r="K8" s="10" t="s">
        <v>51</v>
      </c>
      <c r="L8" s="10" t="s">
        <v>93</v>
      </c>
      <c r="M8">
        <v>24221.162</v>
      </c>
      <c r="N8" t="s">
        <v>88</v>
      </c>
      <c r="O8" t="s">
        <v>88</v>
      </c>
      <c r="P8" t="s">
        <v>88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</row>
    <row r="9" spans="1:21">
      <c r="A9">
        <v>8</v>
      </c>
      <c r="B9" t="s">
        <v>94</v>
      </c>
      <c r="C9" s="13" t="s">
        <v>95</v>
      </c>
      <c r="D9" s="10">
        <v>2046910316</v>
      </c>
      <c r="E9" s="10">
        <v>195216401</v>
      </c>
      <c r="F9" s="10">
        <v>0.095</v>
      </c>
      <c r="G9" s="10">
        <v>10.485</v>
      </c>
      <c r="H9">
        <v>752.562</v>
      </c>
      <c r="I9" s="10" t="s">
        <v>96</v>
      </c>
      <c r="J9" s="10" t="s">
        <v>97</v>
      </c>
      <c r="K9" s="10" t="s">
        <v>98</v>
      </c>
      <c r="L9" s="10" t="s">
        <v>99</v>
      </c>
      <c r="M9">
        <v>24221.162</v>
      </c>
      <c r="N9" t="s">
        <v>88</v>
      </c>
      <c r="O9" t="s">
        <v>88</v>
      </c>
      <c r="P9" t="s">
        <v>88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</row>
    <row r="10" spans="1:21">
      <c r="A10">
        <v>9</v>
      </c>
      <c r="B10" t="s">
        <v>100</v>
      </c>
      <c r="C10" s="13" t="s">
        <v>101</v>
      </c>
      <c r="D10" s="10">
        <v>2056603633</v>
      </c>
      <c r="E10" s="10">
        <v>195219972</v>
      </c>
      <c r="F10" s="10">
        <v>0.095</v>
      </c>
      <c r="G10" s="10">
        <v>10.535</v>
      </c>
      <c r="H10">
        <v>740.953</v>
      </c>
      <c r="I10" s="10" t="s">
        <v>102</v>
      </c>
      <c r="J10" s="10" t="s">
        <v>103</v>
      </c>
      <c r="K10" s="10" t="s">
        <v>104</v>
      </c>
      <c r="L10" s="10" t="s">
        <v>105</v>
      </c>
      <c r="M10">
        <v>25172.378</v>
      </c>
      <c r="N10">
        <v>7.46</v>
      </c>
      <c r="O10" t="s">
        <v>88</v>
      </c>
      <c r="P10" t="s">
        <v>88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2026-02-05T19:58:18Z</dcterms:created>
  <dcterms:modified xsi:type="dcterms:W3CDTF">2026-02-05T19:58:18Z</dcterms:modified>
</cp:coreProperties>
</file>